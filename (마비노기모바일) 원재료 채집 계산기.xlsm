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0807w\Documents\취미_마비노기\"/>
    </mc:Choice>
  </mc:AlternateContent>
  <xr:revisionPtr revIDLastSave="0" documentId="13_ncr:1_{E15C807E-21B8-4C86-9AE6-17A12A2C777A}" xr6:coauthVersionLast="47" xr6:coauthVersionMax="47" xr10:uidLastSave="{00000000-0000-0000-0000-000000000000}"/>
  <bookViews>
    <workbookView xWindow="2590" yWindow="750" windowWidth="15330" windowHeight="16970" activeTab="1" xr2:uid="{6F47DB0F-ED69-4FE5-B3B6-C9081DE77A85}"/>
  </bookViews>
  <sheets>
    <sheet name="Inventory" sheetId="4" r:id="rId1"/>
    <sheet name="UI" sheetId="2" r:id="rId2"/>
    <sheet name="Recipe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2" l="1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6" i="2"/>
  <c r="T7" i="2"/>
  <c r="F6" i="4"/>
  <c r="K7" i="2" s="1"/>
  <c r="F5" i="4"/>
  <c r="K6" i="2" s="1"/>
  <c r="J4" i="4"/>
  <c r="O5" i="2" s="1"/>
  <c r="F4" i="4"/>
  <c r="K5" i="2" s="1"/>
  <c r="J3" i="4"/>
  <c r="O4" i="2" s="1"/>
  <c r="F3" i="4"/>
  <c r="K4" i="2" s="1"/>
  <c r="J2" i="4"/>
  <c r="O3" i="2" s="1"/>
  <c r="F2" i="4"/>
  <c r="K3" i="2" s="1"/>
  <c r="T4" i="2"/>
  <c r="T5" i="2"/>
  <c r="T3" i="2" l="1"/>
</calcChain>
</file>

<file path=xl/sharedStrings.xml><?xml version="1.0" encoding="utf-8"?>
<sst xmlns="http://schemas.openxmlformats.org/spreadsheetml/2006/main" count="443" uniqueCount="194">
  <si>
    <t>Product</t>
  </si>
  <si>
    <t>OutputQty</t>
  </si>
  <si>
    <t>Ingredient1</t>
  </si>
  <si>
    <t>Qty1</t>
  </si>
  <si>
    <t>Ingredient2</t>
  </si>
  <si>
    <t>Qty2</t>
  </si>
  <si>
    <t>Ingredient3</t>
  </si>
  <si>
    <t>Qty3</t>
  </si>
  <si>
    <t>Ingredient4</t>
  </si>
  <si>
    <t>Qty4</t>
  </si>
  <si>
    <t>Ingredient5</t>
  </si>
  <si>
    <t>Qty5</t>
  </si>
  <si>
    <t>철괴</t>
  </si>
  <si>
    <t>철광석</t>
  </si>
  <si>
    <t>강철괴</t>
  </si>
  <si>
    <t>석탄</t>
  </si>
  <si>
    <t>합금강괴</t>
  </si>
  <si>
    <t>동 광석</t>
  </si>
  <si>
    <t>특수강괴</t>
  </si>
  <si>
    <t>은합금괴</t>
    <phoneticPr fontId="2" type="noConversion"/>
  </si>
  <si>
    <t>특수강괴</t>
    <phoneticPr fontId="2" type="noConversion"/>
  </si>
  <si>
    <t>1. 목표 수량 확인</t>
    <phoneticPr fontId="2" type="noConversion"/>
  </si>
  <si>
    <t>금속</t>
    <phoneticPr fontId="2" type="noConversion"/>
  </si>
  <si>
    <t>보유</t>
    <phoneticPr fontId="2" type="noConversion"/>
  </si>
  <si>
    <t>가공중</t>
    <phoneticPr fontId="2" type="noConversion"/>
  </si>
  <si>
    <t>보관함</t>
    <phoneticPr fontId="2" type="noConversion"/>
  </si>
  <si>
    <t>개수</t>
    <phoneticPr fontId="2" type="noConversion"/>
  </si>
  <si>
    <t>석탄</t>
    <phoneticPr fontId="2" type="noConversion"/>
  </si>
  <si>
    <t>철광석</t>
    <phoneticPr fontId="2" type="noConversion"/>
  </si>
  <si>
    <t>동 광석</t>
    <phoneticPr fontId="2" type="noConversion"/>
  </si>
  <si>
    <t>목재</t>
    <phoneticPr fontId="2" type="noConversion"/>
  </si>
  <si>
    <t>목재+</t>
    <phoneticPr fontId="2" type="noConversion"/>
  </si>
  <si>
    <t>상급 목재</t>
    <phoneticPr fontId="2" type="noConversion"/>
  </si>
  <si>
    <t>상급 목재+</t>
    <phoneticPr fontId="2" type="noConversion"/>
  </si>
  <si>
    <t>부드러운 목재</t>
    <phoneticPr fontId="2" type="noConversion"/>
  </si>
  <si>
    <t>최상급 목재</t>
    <phoneticPr fontId="2" type="noConversion"/>
  </si>
  <si>
    <t>가죽</t>
    <phoneticPr fontId="2" type="noConversion"/>
  </si>
  <si>
    <t>가죽+</t>
    <phoneticPr fontId="2" type="noConversion"/>
  </si>
  <si>
    <t>상급 가죽</t>
    <phoneticPr fontId="2" type="noConversion"/>
  </si>
  <si>
    <t>상급 가죽+</t>
    <phoneticPr fontId="2" type="noConversion"/>
  </si>
  <si>
    <t>최상급 가죽</t>
    <phoneticPr fontId="2" type="noConversion"/>
  </si>
  <si>
    <t>옷감</t>
    <phoneticPr fontId="2" type="noConversion"/>
  </si>
  <si>
    <t>옷감+</t>
    <phoneticPr fontId="2" type="noConversion"/>
  </si>
  <si>
    <t>상급 옷감</t>
    <phoneticPr fontId="2" type="noConversion"/>
  </si>
  <si>
    <t>상급 옷감+</t>
    <phoneticPr fontId="2" type="noConversion"/>
  </si>
  <si>
    <t>최상급 옷감</t>
    <phoneticPr fontId="2" type="noConversion"/>
  </si>
  <si>
    <t>실크</t>
    <phoneticPr fontId="2" type="noConversion"/>
  </si>
  <si>
    <t>상급실크</t>
    <phoneticPr fontId="2" type="noConversion"/>
  </si>
  <si>
    <t>최상급실크</t>
    <phoneticPr fontId="2" type="noConversion"/>
  </si>
  <si>
    <t>약품</t>
    <phoneticPr fontId="2" type="noConversion"/>
  </si>
  <si>
    <t>깔끔 버섯 포자</t>
    <phoneticPr fontId="2" type="noConversion"/>
  </si>
  <si>
    <t>깔끔 버섯 진액</t>
    <phoneticPr fontId="2" type="noConversion"/>
  </si>
  <si>
    <t>생채기꽃 가루</t>
    <phoneticPr fontId="2" type="noConversion"/>
  </si>
  <si>
    <t>숨숨꽃 가루</t>
    <phoneticPr fontId="2" type="noConversion"/>
  </si>
  <si>
    <t>마요네즈</t>
    <phoneticPr fontId="2" type="noConversion"/>
  </si>
  <si>
    <t>밀가루</t>
    <phoneticPr fontId="2" type="noConversion"/>
  </si>
  <si>
    <t>치즈</t>
    <phoneticPr fontId="2" type="noConversion"/>
  </si>
  <si>
    <t>면</t>
    <phoneticPr fontId="2" type="noConversion"/>
  </si>
  <si>
    <t>생크림</t>
    <phoneticPr fontId="2" type="noConversion"/>
  </si>
  <si>
    <t>물에 불린 콩</t>
    <phoneticPr fontId="2" type="noConversion"/>
  </si>
  <si>
    <t>두부</t>
    <phoneticPr fontId="2" type="noConversion"/>
  </si>
  <si>
    <t>두유</t>
    <phoneticPr fontId="2" type="noConversion"/>
  </si>
  <si>
    <t>숙성된 커다란 고기</t>
    <phoneticPr fontId="2" type="noConversion"/>
  </si>
  <si>
    <t>요리</t>
    <phoneticPr fontId="2" type="noConversion"/>
  </si>
  <si>
    <t>나무 진액</t>
    <phoneticPr fontId="2" type="noConversion"/>
  </si>
  <si>
    <t>통나무</t>
    <phoneticPr fontId="2" type="noConversion"/>
  </si>
  <si>
    <t>상급 통나무</t>
    <phoneticPr fontId="2" type="noConversion"/>
  </si>
  <si>
    <t>상급 통나무+</t>
    <phoneticPr fontId="2" type="noConversion"/>
  </si>
  <si>
    <t>부드러운 통나무</t>
    <phoneticPr fontId="2" type="noConversion"/>
  </si>
  <si>
    <t>최상급 통나무</t>
    <phoneticPr fontId="2" type="noConversion"/>
  </si>
  <si>
    <t>생가죽</t>
    <phoneticPr fontId="2" type="noConversion"/>
  </si>
  <si>
    <t>타닌 가루</t>
    <phoneticPr fontId="2" type="noConversion"/>
  </si>
  <si>
    <t>상급 생가죽</t>
    <phoneticPr fontId="2" type="noConversion"/>
  </si>
  <si>
    <t>상급 생가죽+</t>
    <phoneticPr fontId="2" type="noConversion"/>
  </si>
  <si>
    <t>최상급 생가죽</t>
    <phoneticPr fontId="2" type="noConversion"/>
  </si>
  <si>
    <t>양털</t>
    <phoneticPr fontId="2" type="noConversion"/>
  </si>
  <si>
    <t>상급 양털</t>
    <phoneticPr fontId="2" type="noConversion"/>
  </si>
  <si>
    <t>상급 양털+</t>
    <phoneticPr fontId="2" type="noConversion"/>
  </si>
  <si>
    <t>최상급 양털</t>
    <phoneticPr fontId="2" type="noConversion"/>
  </si>
  <si>
    <t>거미줄</t>
    <phoneticPr fontId="2" type="noConversion"/>
  </si>
  <si>
    <t>튼튼 버섯 진액</t>
    <phoneticPr fontId="2" type="noConversion"/>
  </si>
  <si>
    <t>최상급 거미줄</t>
    <phoneticPr fontId="2" type="noConversion"/>
  </si>
  <si>
    <t>깔끔 버섯</t>
    <phoneticPr fontId="2" type="noConversion"/>
  </si>
  <si>
    <t>숨숨꽃</t>
    <phoneticPr fontId="2" type="noConversion"/>
  </si>
  <si>
    <t>생채기꽃</t>
    <phoneticPr fontId="2" type="noConversion"/>
  </si>
  <si>
    <t>튼튼 버섯</t>
    <phoneticPr fontId="2" type="noConversion"/>
  </si>
  <si>
    <t>튼튼 버섯 포자</t>
    <phoneticPr fontId="2" type="noConversion"/>
  </si>
  <si>
    <t>3. 필요 재료</t>
    <phoneticPr fontId="2" type="noConversion"/>
  </si>
  <si>
    <t>2. 인벤토리</t>
    <phoneticPr fontId="2" type="noConversion"/>
  </si>
  <si>
    <t>분류</t>
    <phoneticPr fontId="2" type="noConversion"/>
  </si>
  <si>
    <t>재료</t>
    <phoneticPr fontId="2" type="noConversion"/>
  </si>
  <si>
    <t>필요 개수</t>
    <phoneticPr fontId="2" type="noConversion"/>
  </si>
  <si>
    <t>원재료</t>
    <phoneticPr fontId="2" type="noConversion"/>
  </si>
  <si>
    <t>달성도</t>
    <phoneticPr fontId="2" type="noConversion"/>
  </si>
  <si>
    <t>총 필요 개수</t>
    <phoneticPr fontId="2" type="noConversion"/>
  </si>
  <si>
    <t>목표</t>
    <phoneticPr fontId="2" type="noConversion"/>
  </si>
  <si>
    <t>식재료</t>
    <phoneticPr fontId="2" type="noConversion"/>
  </si>
  <si>
    <t>정교한 약초 괭이</t>
    <phoneticPr fontId="2" type="noConversion"/>
  </si>
  <si>
    <t>정교한 낫</t>
    <phoneticPr fontId="2" type="noConversion"/>
  </si>
  <si>
    <t>정교한 호미</t>
    <phoneticPr fontId="2" type="noConversion"/>
  </si>
  <si>
    <t>정교한 양털 가위</t>
    <phoneticPr fontId="2" type="noConversion"/>
  </si>
  <si>
    <t>정교한 벌목 도끼</t>
    <phoneticPr fontId="2" type="noConversion"/>
  </si>
  <si>
    <t>정교한 곡괭이</t>
    <phoneticPr fontId="2" type="noConversion"/>
  </si>
  <si>
    <t>정교한 곤충 채집망</t>
    <phoneticPr fontId="2" type="noConversion"/>
  </si>
  <si>
    <t>정교한 낚싯대</t>
    <phoneticPr fontId="2" type="noConversion"/>
  </si>
  <si>
    <t>뛰어난 회복 물약</t>
    <phoneticPr fontId="2" type="noConversion"/>
  </si>
  <si>
    <t>뛰어난 붕대</t>
    <phoneticPr fontId="2" type="noConversion"/>
  </si>
  <si>
    <t>여행자 간식</t>
    <phoneticPr fontId="2" type="noConversion"/>
  </si>
  <si>
    <t>달걀프라이</t>
    <phoneticPr fontId="2" type="noConversion"/>
  </si>
  <si>
    <t>삶은 달걀</t>
    <phoneticPr fontId="2" type="noConversion"/>
  </si>
  <si>
    <t>구운 고기</t>
    <phoneticPr fontId="2" type="noConversion"/>
  </si>
  <si>
    <t>마요네즈 고기볶음</t>
  </si>
  <si>
    <t>마요네즈 고기볶음</t>
    <phoneticPr fontId="2" type="noConversion"/>
  </si>
  <si>
    <t>포크 인 밀크</t>
    <phoneticPr fontId="2" type="noConversion"/>
  </si>
  <si>
    <t>치즈 퐁뒤</t>
    <phoneticPr fontId="2" type="noConversion"/>
  </si>
  <si>
    <t>조개찜</t>
    <phoneticPr fontId="2" type="noConversion"/>
  </si>
  <si>
    <t>크림소스 스테이크</t>
    <phoneticPr fontId="2" type="noConversion"/>
  </si>
  <si>
    <t>샤와르마</t>
    <phoneticPr fontId="2" type="noConversion"/>
  </si>
  <si>
    <t>미트 파르미자나</t>
    <phoneticPr fontId="2" type="noConversion"/>
  </si>
  <si>
    <t>통감자구이</t>
    <phoneticPr fontId="2" type="noConversion"/>
  </si>
  <si>
    <t>감자 샐러드</t>
    <phoneticPr fontId="2" type="noConversion"/>
  </si>
  <si>
    <t>야채볶음</t>
    <phoneticPr fontId="2" type="noConversion"/>
  </si>
  <si>
    <t>리코타 치즈 샐러드</t>
    <phoneticPr fontId="2" type="noConversion"/>
  </si>
  <si>
    <t>감자수프</t>
    <phoneticPr fontId="2" type="noConversion"/>
  </si>
  <si>
    <t>알리오 올리오</t>
    <phoneticPr fontId="2" type="noConversion"/>
  </si>
  <si>
    <t>두부 스테이크</t>
    <phoneticPr fontId="2" type="noConversion"/>
  </si>
  <si>
    <t>두부 국수</t>
    <phoneticPr fontId="2" type="noConversion"/>
  </si>
  <si>
    <t>사과 주스</t>
  </si>
  <si>
    <t>사과 주스</t>
    <phoneticPr fontId="2" type="noConversion"/>
  </si>
  <si>
    <t>사과 샐러드</t>
    <phoneticPr fontId="2" type="noConversion"/>
  </si>
  <si>
    <t>콘치즈</t>
    <phoneticPr fontId="2" type="noConversion"/>
  </si>
  <si>
    <t>사과 수플레</t>
    <phoneticPr fontId="2" type="noConversion"/>
  </si>
  <si>
    <t>얼음 딸기주스</t>
    <phoneticPr fontId="2" type="noConversion"/>
  </si>
  <si>
    <t>사과 생크림 케이크</t>
    <phoneticPr fontId="2" type="noConversion"/>
  </si>
  <si>
    <t>두유 빙수</t>
    <phoneticPr fontId="2" type="noConversion"/>
  </si>
  <si>
    <t>두유 파스닙 케이크</t>
    <phoneticPr fontId="2" type="noConversion"/>
  </si>
  <si>
    <t>흰살생선 뫼니에르</t>
    <phoneticPr fontId="2" type="noConversion"/>
  </si>
  <si>
    <t>부야베스</t>
    <phoneticPr fontId="2" type="noConversion"/>
  </si>
  <si>
    <t>고등어와 연어 스테이크</t>
    <phoneticPr fontId="2" type="noConversion"/>
  </si>
  <si>
    <t>메기 피시 앤 칩스</t>
    <phoneticPr fontId="2" type="noConversion"/>
  </si>
  <si>
    <t>농어 매운탕</t>
    <phoneticPr fontId="2" type="noConversion"/>
  </si>
  <si>
    <t>대만찬: 꺼지지 않는 불의 뵈프 부르기뇽</t>
    <phoneticPr fontId="2" type="noConversion"/>
  </si>
  <si>
    <t>식자재</t>
    <phoneticPr fontId="2" type="noConversion"/>
  </si>
  <si>
    <t>달걀</t>
  </si>
  <si>
    <t>달걀</t>
    <phoneticPr fontId="2" type="noConversion"/>
  </si>
  <si>
    <t>식용유</t>
    <phoneticPr fontId="2" type="noConversion"/>
  </si>
  <si>
    <t>밀</t>
  </si>
  <si>
    <t>밀</t>
    <phoneticPr fontId="2" type="noConversion"/>
  </si>
  <si>
    <t>우유</t>
  </si>
  <si>
    <t>우유</t>
    <phoneticPr fontId="2" type="noConversion"/>
  </si>
  <si>
    <t>소금</t>
    <phoneticPr fontId="2" type="noConversion"/>
  </si>
  <si>
    <t>물이 든 병</t>
    <phoneticPr fontId="2" type="noConversion"/>
  </si>
  <si>
    <t>설탕</t>
  </si>
  <si>
    <t>설탕</t>
    <phoneticPr fontId="2" type="noConversion"/>
  </si>
  <si>
    <t>콩</t>
    <phoneticPr fontId="2" type="noConversion"/>
  </si>
  <si>
    <t>허브</t>
    <phoneticPr fontId="2" type="noConversion"/>
  </si>
  <si>
    <t>마늘</t>
    <phoneticPr fontId="2" type="noConversion"/>
  </si>
  <si>
    <t>후추</t>
    <phoneticPr fontId="2" type="noConversion"/>
  </si>
  <si>
    <t>사과</t>
  </si>
  <si>
    <t>사과</t>
    <phoneticPr fontId="2" type="noConversion"/>
  </si>
  <si>
    <t>고기</t>
    <phoneticPr fontId="2" type="noConversion"/>
  </si>
  <si>
    <t>양배추</t>
    <phoneticPr fontId="2" type="noConversion"/>
  </si>
  <si>
    <t>감자</t>
    <phoneticPr fontId="2" type="noConversion"/>
  </si>
  <si>
    <t>조개</t>
    <phoneticPr fontId="2" type="noConversion"/>
  </si>
  <si>
    <t>레몬</t>
    <phoneticPr fontId="2" type="noConversion"/>
  </si>
  <si>
    <t>담백한 고기</t>
    <phoneticPr fontId="2" type="noConversion"/>
  </si>
  <si>
    <t>토마토</t>
    <phoneticPr fontId="2" type="noConversion"/>
  </si>
  <si>
    <t>양파</t>
    <phoneticPr fontId="2" type="noConversion"/>
  </si>
  <si>
    <t>파스닙</t>
    <phoneticPr fontId="2" type="noConversion"/>
  </si>
  <si>
    <t>무</t>
    <phoneticPr fontId="2" type="noConversion"/>
  </si>
  <si>
    <t>옥수수</t>
    <phoneticPr fontId="2" type="noConversion"/>
  </si>
  <si>
    <t>얼음</t>
    <phoneticPr fontId="2" type="noConversion"/>
  </si>
  <si>
    <t>딸기</t>
    <phoneticPr fontId="2" type="noConversion"/>
  </si>
  <si>
    <t>완두콩</t>
    <phoneticPr fontId="2" type="noConversion"/>
  </si>
  <si>
    <t>고춧가루</t>
    <phoneticPr fontId="2" type="noConversion"/>
  </si>
  <si>
    <t>야채 볶음</t>
    <phoneticPr fontId="2" type="noConversion"/>
  </si>
  <si>
    <t>기타</t>
    <phoneticPr fontId="2" type="noConversion"/>
  </si>
  <si>
    <t>상급 실크</t>
    <phoneticPr fontId="2" type="noConversion"/>
  </si>
  <si>
    <t>최상급 실크</t>
    <phoneticPr fontId="2" type="noConversion"/>
  </si>
  <si>
    <t>커다란 고기</t>
    <phoneticPr fontId="2" type="noConversion"/>
  </si>
  <si>
    <t>못</t>
    <phoneticPr fontId="2" type="noConversion"/>
  </si>
  <si>
    <t>철괴</t>
    <phoneticPr fontId="2" type="noConversion"/>
  </si>
  <si>
    <t>블러디 허브</t>
    <phoneticPr fontId="2" type="noConversion"/>
  </si>
  <si>
    <t>생명의 마나석</t>
    <phoneticPr fontId="2" type="noConversion"/>
  </si>
  <si>
    <t>농어</t>
    <phoneticPr fontId="2" type="noConversion"/>
  </si>
  <si>
    <t>Ingredient6</t>
    <phoneticPr fontId="2" type="noConversion"/>
  </si>
  <si>
    <t>Qty6</t>
    <phoneticPr fontId="2" type="noConversion"/>
  </si>
  <si>
    <t>Ingredient7</t>
    <phoneticPr fontId="2" type="noConversion"/>
  </si>
  <si>
    <t>Qty7</t>
    <phoneticPr fontId="2" type="noConversion"/>
  </si>
  <si>
    <t>불꽃의 결정</t>
    <phoneticPr fontId="2" type="noConversion"/>
  </si>
  <si>
    <t>얼음의 결정</t>
    <phoneticPr fontId="2" type="noConversion"/>
  </si>
  <si>
    <t>전기의 결정</t>
    <phoneticPr fontId="2" type="noConversion"/>
  </si>
  <si>
    <t>광휘의 결정</t>
    <phoneticPr fontId="2" type="noConversion"/>
  </si>
  <si>
    <t>봉인의 결정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</si>
</sst>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184150</xdr:colOff>
          <xdr:row>1</xdr:row>
          <xdr:rowOff>0</xdr:rowOff>
        </xdr:from>
        <xdr:to>
          <xdr:col>22</xdr:col>
          <xdr:colOff>120650</xdr:colOff>
          <xdr:row>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원재료 계산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463550</xdr:colOff>
      <xdr:row>1</xdr:row>
      <xdr:rowOff>101600</xdr:rowOff>
    </xdr:from>
    <xdr:to>
      <xdr:col>30</xdr:col>
      <xdr:colOff>101600</xdr:colOff>
      <xdr:row>24</xdr:row>
      <xdr:rowOff>44450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906115C-EA98-F994-E48F-D118414BB788}"/>
            </a:ext>
          </a:extLst>
        </xdr:cNvPr>
        <xdr:cNvSpPr txBox="1"/>
      </xdr:nvSpPr>
      <xdr:spPr>
        <a:xfrm>
          <a:off x="12306300" y="317500"/>
          <a:ext cx="4921250" cy="4908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[</a:t>
          </a:r>
          <a:r>
            <a:rPr lang="ko-KR" altLang="en-US" sz="1100"/>
            <a:t>사용방법</a:t>
          </a:r>
          <a:r>
            <a:rPr lang="en-US" altLang="ko-KR" sz="1100"/>
            <a:t>]</a:t>
          </a:r>
        </a:p>
        <a:p>
          <a:r>
            <a:rPr lang="en-US" altLang="ko-KR" sz="1100"/>
            <a:t>1. </a:t>
          </a:r>
          <a:r>
            <a:rPr lang="ko-KR" altLang="en-US" sz="1100"/>
            <a:t>목표 수량에 목표로 하는 총 재료 수량</a:t>
          </a:r>
          <a:r>
            <a:rPr lang="ko-KR" altLang="en-US" sz="1100" baseline="0"/>
            <a:t> 적기</a:t>
          </a:r>
          <a:endParaRPr lang="en-US" altLang="ko-KR" sz="1100" baseline="0"/>
        </a:p>
        <a:p>
          <a:r>
            <a:rPr lang="en-US" altLang="ko-KR" sz="1100" baseline="0"/>
            <a:t>2. </a:t>
          </a:r>
          <a:r>
            <a:rPr lang="ko-KR" altLang="en-US" sz="1100" baseline="0"/>
            <a:t>인벤토리에 가지고 있는 재료 개수 넣기 </a:t>
          </a:r>
          <a:r>
            <a:rPr lang="en-US" altLang="ko-KR" sz="1100" baseline="0"/>
            <a:t>(</a:t>
          </a:r>
          <a:r>
            <a:rPr lang="ko-KR" altLang="en-US" sz="1100" baseline="0"/>
            <a:t>항목은 편의상 나눈 것이고</a:t>
          </a:r>
          <a:r>
            <a:rPr lang="en-US" altLang="ko-KR" sz="1100" baseline="0"/>
            <a:t>, </a:t>
          </a:r>
          <a:r>
            <a:rPr lang="ko-KR" altLang="en-US" sz="1100" baseline="0"/>
            <a:t>더해서 한 곳에만 넣어도 무방함</a:t>
          </a:r>
          <a:r>
            <a:rPr lang="en-US" altLang="ko-KR" sz="1100" baseline="0"/>
            <a:t>)</a:t>
          </a:r>
        </a:p>
        <a:p>
          <a:r>
            <a:rPr lang="en-US" altLang="ko-KR" sz="1100" baseline="0"/>
            <a:t>3. </a:t>
          </a:r>
          <a:r>
            <a:rPr lang="ko-KR" altLang="en-US" sz="1100" baseline="0"/>
            <a:t>원재료 계산 버튼 클릭</a:t>
          </a:r>
          <a:endParaRPr lang="en-US" altLang="ko-KR" sz="1100" baseline="0"/>
        </a:p>
        <a:p>
          <a:r>
            <a:rPr lang="en-US" altLang="ko-KR" sz="1100" baseline="0"/>
            <a:t>3. </a:t>
          </a:r>
          <a:r>
            <a:rPr lang="ko-KR" altLang="en-US" sz="1100" baseline="0"/>
            <a:t>필요 재료는 원재료에 대해서만 계산됨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2998-37E0-46CC-A09F-F5ABDD6A7464}">
  <sheetPr codeName="Sheet2"/>
  <dimension ref="A1:J50"/>
  <sheetViews>
    <sheetView workbookViewId="0">
      <pane ySplit="1" topLeftCell="A2" activePane="bottomLeft" state="frozen"/>
      <selection pane="bottomLeft" activeCell="A2" sqref="A2:A6"/>
    </sheetView>
  </sheetViews>
  <sheetFormatPr defaultRowHeight="17" x14ac:dyDescent="0.45"/>
  <cols>
    <col min="2" max="2" width="20.83203125" customWidth="1"/>
    <col min="6" max="6" width="0" hidden="1" customWidth="1"/>
    <col min="7" max="7" width="14.08203125" customWidth="1"/>
    <col min="10" max="10" width="0" hidden="1" customWidth="1"/>
  </cols>
  <sheetData>
    <row r="1" spans="1:10" x14ac:dyDescent="0.45">
      <c r="A1" s="8" t="s">
        <v>89</v>
      </c>
      <c r="B1" s="8" t="s">
        <v>90</v>
      </c>
      <c r="C1" s="8" t="s">
        <v>23</v>
      </c>
      <c r="D1" s="8" t="s">
        <v>24</v>
      </c>
      <c r="E1" s="8" t="s">
        <v>25</v>
      </c>
      <c r="F1" s="8" t="s">
        <v>26</v>
      </c>
      <c r="G1" s="8" t="s">
        <v>92</v>
      </c>
      <c r="H1" s="12" t="s">
        <v>23</v>
      </c>
      <c r="I1" s="12" t="s">
        <v>25</v>
      </c>
      <c r="J1" s="12" t="s">
        <v>26</v>
      </c>
    </row>
    <row r="2" spans="1:10" x14ac:dyDescent="0.45">
      <c r="A2" s="9" t="s">
        <v>22</v>
      </c>
      <c r="B2" s="10" t="s">
        <v>12</v>
      </c>
      <c r="C2" s="8"/>
      <c r="D2" s="8"/>
      <c r="E2" s="8"/>
      <c r="F2" s="8">
        <f>SUM(C2:E2)</f>
        <v>0</v>
      </c>
      <c r="G2" s="8" t="s">
        <v>27</v>
      </c>
      <c r="H2" s="8"/>
      <c r="I2" s="8"/>
      <c r="J2" s="8">
        <f>H2+I2</f>
        <v>0</v>
      </c>
    </row>
    <row r="3" spans="1:10" x14ac:dyDescent="0.45">
      <c r="A3" s="9"/>
      <c r="B3" s="10" t="s">
        <v>14</v>
      </c>
      <c r="C3" s="8"/>
      <c r="D3" s="8"/>
      <c r="E3" s="8"/>
      <c r="F3" s="8">
        <f>SUM(C3:E3)</f>
        <v>0</v>
      </c>
      <c r="G3" s="8" t="s">
        <v>28</v>
      </c>
      <c r="H3" s="8"/>
      <c r="I3" s="8"/>
      <c r="J3" s="8">
        <f t="shared" ref="J3:J4" si="0">H3+I3</f>
        <v>0</v>
      </c>
    </row>
    <row r="4" spans="1:10" x14ac:dyDescent="0.45">
      <c r="A4" s="9"/>
      <c r="B4" s="10" t="s">
        <v>16</v>
      </c>
      <c r="C4" s="8"/>
      <c r="D4" s="8"/>
      <c r="E4" s="8"/>
      <c r="F4" s="8">
        <f>SUM(C4:E4)</f>
        <v>0</v>
      </c>
      <c r="G4" s="8" t="s">
        <v>29</v>
      </c>
      <c r="H4" s="8"/>
      <c r="I4" s="8"/>
      <c r="J4" s="8">
        <f t="shared" si="0"/>
        <v>0</v>
      </c>
    </row>
    <row r="5" spans="1:10" x14ac:dyDescent="0.45">
      <c r="A5" s="9"/>
      <c r="B5" s="10" t="s">
        <v>18</v>
      </c>
      <c r="C5" s="8"/>
      <c r="D5" s="8"/>
      <c r="E5" s="8"/>
      <c r="F5" s="8">
        <f>SUM(C5:E5)</f>
        <v>0</v>
      </c>
      <c r="G5" s="8"/>
      <c r="H5" s="8"/>
      <c r="I5" s="8"/>
      <c r="J5" s="8"/>
    </row>
    <row r="6" spans="1:10" x14ac:dyDescent="0.45">
      <c r="A6" s="9"/>
      <c r="B6" s="10" t="s">
        <v>19</v>
      </c>
      <c r="C6" s="8"/>
      <c r="D6" s="8"/>
      <c r="E6" s="8"/>
      <c r="F6" s="8">
        <f>SUM(C6:E6)</f>
        <v>0</v>
      </c>
      <c r="G6" s="8"/>
      <c r="H6" s="8"/>
      <c r="I6" s="8"/>
      <c r="J6" s="8"/>
    </row>
    <row r="7" spans="1:10" x14ac:dyDescent="0.45">
      <c r="A7" s="21" t="s">
        <v>30</v>
      </c>
      <c r="B7" s="22" t="s">
        <v>30</v>
      </c>
      <c r="C7" s="11"/>
      <c r="D7" s="11"/>
      <c r="E7" s="11"/>
      <c r="F7" s="11"/>
      <c r="G7" s="11" t="s">
        <v>64</v>
      </c>
      <c r="H7" s="11"/>
      <c r="I7" s="11"/>
      <c r="J7" s="8"/>
    </row>
    <row r="8" spans="1:10" x14ac:dyDescent="0.45">
      <c r="A8" s="21"/>
      <c r="B8" s="22" t="s">
        <v>31</v>
      </c>
      <c r="C8" s="11"/>
      <c r="D8" s="11"/>
      <c r="E8" s="11"/>
      <c r="F8" s="11"/>
      <c r="G8" s="11" t="s">
        <v>65</v>
      </c>
      <c r="H8" s="11"/>
      <c r="I8" s="11"/>
      <c r="J8" s="8"/>
    </row>
    <row r="9" spans="1:10" x14ac:dyDescent="0.45">
      <c r="A9" s="21"/>
      <c r="B9" s="22" t="s">
        <v>32</v>
      </c>
      <c r="C9" s="11"/>
      <c r="D9" s="11"/>
      <c r="E9" s="11"/>
      <c r="F9" s="11"/>
      <c r="G9" s="11" t="s">
        <v>66</v>
      </c>
      <c r="H9" s="11"/>
      <c r="I9" s="11"/>
      <c r="J9" s="8"/>
    </row>
    <row r="10" spans="1:10" x14ac:dyDescent="0.45">
      <c r="A10" s="21"/>
      <c r="B10" s="22" t="s">
        <v>33</v>
      </c>
      <c r="C10" s="11"/>
      <c r="D10" s="11"/>
      <c r="E10" s="11"/>
      <c r="F10" s="11"/>
      <c r="G10" s="11" t="s">
        <v>67</v>
      </c>
      <c r="H10" s="11"/>
      <c r="I10" s="11"/>
      <c r="J10" s="8"/>
    </row>
    <row r="11" spans="1:10" x14ac:dyDescent="0.45">
      <c r="A11" s="21"/>
      <c r="B11" s="22" t="s">
        <v>34</v>
      </c>
      <c r="C11" s="11"/>
      <c r="D11" s="11"/>
      <c r="E11" s="11"/>
      <c r="F11" s="11"/>
      <c r="G11" s="11" t="s">
        <v>68</v>
      </c>
      <c r="H11" s="11"/>
      <c r="I11" s="11"/>
      <c r="J11" s="8"/>
    </row>
    <row r="12" spans="1:10" x14ac:dyDescent="0.45">
      <c r="A12" s="21"/>
      <c r="B12" s="22" t="s">
        <v>35</v>
      </c>
      <c r="C12" s="11"/>
      <c r="D12" s="11"/>
      <c r="E12" s="11"/>
      <c r="F12" s="11"/>
      <c r="G12" s="11" t="s">
        <v>69</v>
      </c>
      <c r="H12" s="11"/>
      <c r="I12" s="11"/>
      <c r="J12" s="8"/>
    </row>
    <row r="13" spans="1:10" x14ac:dyDescent="0.45">
      <c r="A13" s="9" t="s">
        <v>36</v>
      </c>
      <c r="B13" s="10" t="s">
        <v>36</v>
      </c>
      <c r="C13" s="8"/>
      <c r="D13" s="8"/>
      <c r="E13" s="8"/>
      <c r="F13" s="8"/>
      <c r="G13" s="8" t="s">
        <v>71</v>
      </c>
      <c r="H13" s="8"/>
      <c r="I13" s="8"/>
      <c r="J13" s="8"/>
    </row>
    <row r="14" spans="1:10" x14ac:dyDescent="0.45">
      <c r="A14" s="9"/>
      <c r="B14" s="10" t="s">
        <v>37</v>
      </c>
      <c r="C14" s="8"/>
      <c r="D14" s="8"/>
      <c r="E14" s="8"/>
      <c r="F14" s="8"/>
      <c r="G14" s="8" t="s">
        <v>70</v>
      </c>
      <c r="H14" s="8"/>
      <c r="I14" s="8"/>
      <c r="J14" s="8"/>
    </row>
    <row r="15" spans="1:10" x14ac:dyDescent="0.45">
      <c r="A15" s="9"/>
      <c r="B15" s="10" t="s">
        <v>38</v>
      </c>
      <c r="C15" s="8"/>
      <c r="D15" s="8"/>
      <c r="E15" s="8"/>
      <c r="F15" s="8"/>
      <c r="G15" s="8" t="s">
        <v>72</v>
      </c>
      <c r="H15" s="8"/>
      <c r="I15" s="8"/>
      <c r="J15" s="8"/>
    </row>
    <row r="16" spans="1:10" x14ac:dyDescent="0.45">
      <c r="A16" s="9"/>
      <c r="B16" s="10" t="s">
        <v>39</v>
      </c>
      <c r="C16" s="8"/>
      <c r="D16" s="8"/>
      <c r="E16" s="8"/>
      <c r="F16" s="8"/>
      <c r="G16" s="8" t="s">
        <v>73</v>
      </c>
      <c r="H16" s="8"/>
      <c r="I16" s="8"/>
      <c r="J16" s="8"/>
    </row>
    <row r="17" spans="1:10" x14ac:dyDescent="0.45">
      <c r="A17" s="9"/>
      <c r="B17" s="10" t="s">
        <v>40</v>
      </c>
      <c r="C17" s="8"/>
      <c r="D17" s="8"/>
      <c r="E17" s="8"/>
      <c r="F17" s="8"/>
      <c r="G17" s="8" t="s">
        <v>74</v>
      </c>
      <c r="H17" s="8"/>
      <c r="I17" s="8"/>
      <c r="J17" s="8"/>
    </row>
    <row r="18" spans="1:10" x14ac:dyDescent="0.45">
      <c r="A18" s="21" t="s">
        <v>75</v>
      </c>
      <c r="B18" s="22" t="s">
        <v>41</v>
      </c>
      <c r="C18" s="11"/>
      <c r="D18" s="11"/>
      <c r="E18" s="11"/>
      <c r="F18" s="11"/>
      <c r="G18" s="11" t="s">
        <v>75</v>
      </c>
      <c r="H18" s="11"/>
      <c r="I18" s="11"/>
      <c r="J18" s="8"/>
    </row>
    <row r="19" spans="1:10" x14ac:dyDescent="0.45">
      <c r="A19" s="21"/>
      <c r="B19" s="22" t="s">
        <v>42</v>
      </c>
      <c r="C19" s="11"/>
      <c r="D19" s="11"/>
      <c r="E19" s="11"/>
      <c r="F19" s="11"/>
      <c r="G19" s="11" t="s">
        <v>76</v>
      </c>
      <c r="H19" s="11"/>
      <c r="I19" s="11"/>
      <c r="J19" s="8"/>
    </row>
    <row r="20" spans="1:10" x14ac:dyDescent="0.45">
      <c r="A20" s="21"/>
      <c r="B20" s="22" t="s">
        <v>43</v>
      </c>
      <c r="C20" s="11"/>
      <c r="D20" s="11"/>
      <c r="E20" s="11"/>
      <c r="F20" s="11"/>
      <c r="G20" s="11" t="s">
        <v>77</v>
      </c>
      <c r="H20" s="11"/>
      <c r="I20" s="11"/>
      <c r="J20" s="8"/>
    </row>
    <row r="21" spans="1:10" x14ac:dyDescent="0.45">
      <c r="A21" s="21"/>
      <c r="B21" s="22" t="s">
        <v>44</v>
      </c>
      <c r="C21" s="11"/>
      <c r="D21" s="11"/>
      <c r="E21" s="11"/>
      <c r="F21" s="11"/>
      <c r="G21" s="11" t="s">
        <v>78</v>
      </c>
      <c r="H21" s="11"/>
      <c r="I21" s="11"/>
      <c r="J21" s="8"/>
    </row>
    <row r="22" spans="1:10" x14ac:dyDescent="0.45">
      <c r="A22" s="21"/>
      <c r="B22" s="22" t="s">
        <v>45</v>
      </c>
      <c r="C22" s="11"/>
      <c r="D22" s="11"/>
      <c r="E22" s="11"/>
      <c r="F22" s="11"/>
      <c r="G22" s="11"/>
      <c r="H22" s="11"/>
      <c r="I22" s="11"/>
      <c r="J22" s="8"/>
    </row>
    <row r="23" spans="1:10" x14ac:dyDescent="0.45">
      <c r="A23" s="9" t="s">
        <v>46</v>
      </c>
      <c r="B23" s="10" t="s">
        <v>46</v>
      </c>
      <c r="C23" s="8"/>
      <c r="D23" s="8"/>
      <c r="E23" s="8"/>
      <c r="F23" s="8"/>
      <c r="G23" s="8" t="s">
        <v>79</v>
      </c>
      <c r="H23" s="8"/>
      <c r="I23" s="8"/>
      <c r="J23" s="8"/>
    </row>
    <row r="24" spans="1:10" x14ac:dyDescent="0.45">
      <c r="A24" s="9"/>
      <c r="B24" s="10" t="s">
        <v>47</v>
      </c>
      <c r="C24" s="8"/>
      <c r="D24" s="8"/>
      <c r="E24" s="8"/>
      <c r="F24" s="8"/>
      <c r="G24" s="8" t="s">
        <v>80</v>
      </c>
      <c r="H24" s="8"/>
      <c r="I24" s="8"/>
      <c r="J24" s="8"/>
    </row>
    <row r="25" spans="1:10" x14ac:dyDescent="0.45">
      <c r="A25" s="9"/>
      <c r="B25" s="10" t="s">
        <v>48</v>
      </c>
      <c r="C25" s="8"/>
      <c r="D25" s="8"/>
      <c r="E25" s="8"/>
      <c r="F25" s="8"/>
      <c r="G25" s="8" t="s">
        <v>81</v>
      </c>
      <c r="H25" s="8"/>
      <c r="I25" s="8"/>
      <c r="J25" s="8"/>
    </row>
    <row r="26" spans="1:10" x14ac:dyDescent="0.45">
      <c r="A26" s="21" t="s">
        <v>49</v>
      </c>
      <c r="B26" s="22" t="s">
        <v>50</v>
      </c>
      <c r="C26" s="11"/>
      <c r="D26" s="11"/>
      <c r="E26" s="11"/>
      <c r="F26" s="11"/>
      <c r="G26" s="11" t="s">
        <v>82</v>
      </c>
      <c r="H26" s="11"/>
      <c r="I26" s="11"/>
      <c r="J26" s="8"/>
    </row>
    <row r="27" spans="1:10" x14ac:dyDescent="0.45">
      <c r="A27" s="21"/>
      <c r="B27" s="11" t="s">
        <v>51</v>
      </c>
      <c r="C27" s="11"/>
      <c r="D27" s="11"/>
      <c r="E27" s="11"/>
      <c r="F27" s="11"/>
      <c r="G27" s="11" t="s">
        <v>83</v>
      </c>
      <c r="H27" s="11"/>
      <c r="I27" s="11"/>
      <c r="J27" s="8"/>
    </row>
    <row r="28" spans="1:10" x14ac:dyDescent="0.45">
      <c r="A28" s="21"/>
      <c r="B28" s="22" t="s">
        <v>53</v>
      </c>
      <c r="C28" s="11"/>
      <c r="D28" s="11"/>
      <c r="E28" s="11"/>
      <c r="F28" s="11"/>
      <c r="G28" s="11" t="s">
        <v>84</v>
      </c>
      <c r="H28" s="11"/>
      <c r="I28" s="11"/>
      <c r="J28" s="8"/>
    </row>
    <row r="29" spans="1:10" x14ac:dyDescent="0.45">
      <c r="A29" s="21"/>
      <c r="B29" s="22" t="s">
        <v>52</v>
      </c>
      <c r="C29" s="11"/>
      <c r="D29" s="11"/>
      <c r="E29" s="11"/>
      <c r="F29" s="11"/>
      <c r="G29" s="11" t="s">
        <v>85</v>
      </c>
      <c r="H29" s="11"/>
      <c r="I29" s="11"/>
      <c r="J29" s="8"/>
    </row>
    <row r="30" spans="1:10" x14ac:dyDescent="0.45">
      <c r="A30" s="21"/>
      <c r="B30" s="22" t="s">
        <v>80</v>
      </c>
      <c r="C30" s="11"/>
      <c r="D30" s="11"/>
      <c r="E30" s="11"/>
      <c r="F30" s="11"/>
      <c r="G30" s="11"/>
      <c r="H30" s="11"/>
      <c r="I30" s="11"/>
      <c r="J30" s="8"/>
    </row>
    <row r="31" spans="1:10" x14ac:dyDescent="0.45">
      <c r="A31" s="9" t="s">
        <v>142</v>
      </c>
      <c r="B31" s="10" t="s">
        <v>54</v>
      </c>
      <c r="C31" s="8"/>
      <c r="D31" s="8"/>
      <c r="E31" s="8"/>
      <c r="F31" s="8"/>
      <c r="G31" s="8" t="s">
        <v>144</v>
      </c>
      <c r="H31" s="8"/>
      <c r="I31" s="8"/>
      <c r="J31" s="8"/>
    </row>
    <row r="32" spans="1:10" x14ac:dyDescent="0.45">
      <c r="A32" s="9"/>
      <c r="B32" s="10" t="s">
        <v>55</v>
      </c>
      <c r="C32" s="8"/>
      <c r="D32" s="8"/>
      <c r="E32" s="8"/>
      <c r="F32" s="8"/>
      <c r="G32" s="8" t="s">
        <v>149</v>
      </c>
      <c r="H32" s="8"/>
      <c r="I32" s="8"/>
      <c r="J32" s="8"/>
    </row>
    <row r="33" spans="1:10" x14ac:dyDescent="0.45">
      <c r="A33" s="9"/>
      <c r="B33" s="10" t="s">
        <v>56</v>
      </c>
      <c r="C33" s="8"/>
      <c r="D33" s="8"/>
      <c r="E33" s="8"/>
      <c r="F33" s="8"/>
      <c r="G33" s="8" t="s">
        <v>147</v>
      </c>
      <c r="H33" s="8"/>
      <c r="I33" s="8"/>
      <c r="J33" s="8"/>
    </row>
    <row r="34" spans="1:10" x14ac:dyDescent="0.45">
      <c r="A34" s="9"/>
      <c r="B34" s="10" t="s">
        <v>57</v>
      </c>
      <c r="C34" s="8"/>
      <c r="D34" s="8"/>
      <c r="E34" s="8"/>
      <c r="F34" s="8"/>
      <c r="G34" s="8" t="s">
        <v>151</v>
      </c>
      <c r="H34" s="8"/>
      <c r="I34" s="8"/>
      <c r="J34" s="8"/>
    </row>
    <row r="35" spans="1:10" x14ac:dyDescent="0.45">
      <c r="A35" s="9"/>
      <c r="B35" s="10" t="s">
        <v>58</v>
      </c>
      <c r="C35" s="8"/>
      <c r="D35" s="8"/>
      <c r="E35" s="8"/>
      <c r="F35" s="8"/>
      <c r="G35" s="8" t="s">
        <v>154</v>
      </c>
      <c r="H35" s="8"/>
      <c r="I35" s="8"/>
      <c r="J35" s="8"/>
    </row>
    <row r="36" spans="1:10" x14ac:dyDescent="0.45">
      <c r="A36" s="9"/>
      <c r="B36" s="10" t="s">
        <v>59</v>
      </c>
      <c r="C36" s="8"/>
      <c r="D36" s="8"/>
      <c r="E36" s="8"/>
      <c r="F36" s="8"/>
      <c r="G36" s="8" t="s">
        <v>160</v>
      </c>
      <c r="H36" s="8"/>
      <c r="I36" s="8"/>
      <c r="J36" s="8"/>
    </row>
    <row r="37" spans="1:10" x14ac:dyDescent="0.45">
      <c r="A37" s="9"/>
      <c r="B37" s="10" t="s">
        <v>60</v>
      </c>
      <c r="C37" s="8"/>
      <c r="D37" s="8"/>
      <c r="E37" s="8"/>
      <c r="F37" s="8"/>
      <c r="G37" s="12" t="s">
        <v>155</v>
      </c>
      <c r="H37" s="8"/>
      <c r="I37" s="8"/>
      <c r="J37" s="8"/>
    </row>
    <row r="38" spans="1:10" x14ac:dyDescent="0.45">
      <c r="A38" s="9"/>
      <c r="B38" s="10" t="s">
        <v>61</v>
      </c>
      <c r="C38" s="8"/>
      <c r="D38" s="8"/>
      <c r="E38" s="8"/>
      <c r="F38" s="8"/>
      <c r="G38" s="12" t="s">
        <v>159</v>
      </c>
      <c r="H38" s="8"/>
      <c r="I38" s="8"/>
      <c r="J38" s="8"/>
    </row>
    <row r="39" spans="1:10" x14ac:dyDescent="0.45">
      <c r="A39" s="15"/>
      <c r="B39" s="16" t="s">
        <v>62</v>
      </c>
      <c r="C39" s="17"/>
      <c r="D39" s="17"/>
      <c r="E39" s="17"/>
      <c r="F39" s="17"/>
      <c r="G39" s="12" t="s">
        <v>162</v>
      </c>
      <c r="H39" s="17"/>
      <c r="I39" s="17"/>
      <c r="J39" s="17"/>
    </row>
    <row r="40" spans="1:10" x14ac:dyDescent="0.45">
      <c r="A40" s="15" t="s">
        <v>63</v>
      </c>
      <c r="B40" s="12" t="s">
        <v>161</v>
      </c>
      <c r="C40" s="8"/>
      <c r="D40" s="8"/>
      <c r="E40" s="8"/>
      <c r="F40" s="8"/>
      <c r="G40" s="12" t="s">
        <v>163</v>
      </c>
      <c r="H40" s="8"/>
      <c r="I40" s="8"/>
      <c r="J40" s="8"/>
    </row>
    <row r="41" spans="1:10" x14ac:dyDescent="0.45">
      <c r="A41" s="18"/>
      <c r="B41" s="12" t="s">
        <v>164</v>
      </c>
      <c r="C41" s="8"/>
      <c r="D41" s="8"/>
      <c r="E41" s="8"/>
      <c r="F41" s="8"/>
      <c r="G41" s="12" t="s">
        <v>165</v>
      </c>
      <c r="H41" s="8">
        <v>1</v>
      </c>
      <c r="I41" s="8"/>
      <c r="J41" s="8"/>
    </row>
    <row r="42" spans="1:10" x14ac:dyDescent="0.45">
      <c r="A42" s="18"/>
      <c r="B42" s="8" t="s">
        <v>150</v>
      </c>
      <c r="C42" s="8"/>
      <c r="D42" s="8"/>
      <c r="E42" s="8"/>
      <c r="F42" s="8"/>
      <c r="G42" s="12" t="s">
        <v>166</v>
      </c>
      <c r="H42" s="8"/>
      <c r="I42" s="8"/>
      <c r="J42" s="8"/>
    </row>
    <row r="43" spans="1:10" x14ac:dyDescent="0.45">
      <c r="A43" s="18"/>
      <c r="B43" s="8" t="s">
        <v>153</v>
      </c>
      <c r="C43" s="8"/>
      <c r="D43" s="8"/>
      <c r="E43" s="8"/>
      <c r="F43" s="8"/>
      <c r="G43" s="12" t="s">
        <v>167</v>
      </c>
      <c r="H43" s="8"/>
      <c r="I43" s="8"/>
      <c r="J43" s="8"/>
    </row>
    <row r="44" spans="1:10" x14ac:dyDescent="0.45">
      <c r="A44" s="18"/>
      <c r="B44" s="8" t="s">
        <v>157</v>
      </c>
      <c r="C44" s="8"/>
      <c r="D44" s="8"/>
      <c r="E44" s="8"/>
      <c r="F44" s="8"/>
      <c r="G44" s="12" t="s">
        <v>168</v>
      </c>
      <c r="H44" s="8"/>
      <c r="I44" s="8"/>
      <c r="J44" s="8"/>
    </row>
    <row r="45" spans="1:10" x14ac:dyDescent="0.45">
      <c r="A45" s="18"/>
      <c r="B45" s="8" t="s">
        <v>145</v>
      </c>
      <c r="C45" s="8"/>
      <c r="D45" s="8"/>
      <c r="E45" s="8"/>
      <c r="F45" s="8"/>
      <c r="G45" s="12" t="s">
        <v>169</v>
      </c>
      <c r="H45" s="8"/>
      <c r="I45" s="8"/>
      <c r="J45" s="8"/>
    </row>
    <row r="46" spans="1:10" x14ac:dyDescent="0.45">
      <c r="A46" s="18"/>
      <c r="B46" s="12" t="s">
        <v>156</v>
      </c>
      <c r="C46" s="8"/>
      <c r="D46" s="8"/>
      <c r="E46" s="8"/>
      <c r="F46" s="8"/>
      <c r="G46" s="12" t="s">
        <v>170</v>
      </c>
      <c r="H46" s="8"/>
      <c r="I46" s="8"/>
      <c r="J46" s="8"/>
    </row>
    <row r="47" spans="1:10" x14ac:dyDescent="0.45">
      <c r="A47" s="18"/>
      <c r="B47" s="12" t="s">
        <v>172</v>
      </c>
      <c r="C47" s="8"/>
      <c r="D47" s="8"/>
      <c r="E47" s="8"/>
      <c r="F47" s="8"/>
      <c r="G47" s="12" t="s">
        <v>171</v>
      </c>
      <c r="H47" s="8"/>
      <c r="I47" s="8"/>
      <c r="J47" s="8"/>
    </row>
    <row r="48" spans="1:10" x14ac:dyDescent="0.45">
      <c r="A48" s="18"/>
      <c r="B48" s="12" t="s">
        <v>173</v>
      </c>
      <c r="C48" s="8"/>
      <c r="D48" s="8"/>
      <c r="E48" s="8"/>
      <c r="F48" s="8"/>
      <c r="G48" s="8"/>
      <c r="H48" s="8"/>
      <c r="I48" s="8"/>
      <c r="J48" s="8"/>
    </row>
    <row r="49" spans="1:10" x14ac:dyDescent="0.45">
      <c r="A49" s="18"/>
      <c r="B49" s="12" t="s">
        <v>169</v>
      </c>
      <c r="C49" s="8"/>
      <c r="D49" s="8"/>
      <c r="E49" s="8"/>
      <c r="F49" s="8"/>
      <c r="G49" s="8"/>
      <c r="H49" s="8"/>
      <c r="I49" s="8"/>
      <c r="J49" s="8"/>
    </row>
    <row r="50" spans="1:10" x14ac:dyDescent="0.45">
      <c r="A50" s="19"/>
      <c r="B50" s="12" t="s">
        <v>174</v>
      </c>
      <c r="C50" s="8"/>
      <c r="D50" s="8"/>
      <c r="E50" s="8"/>
      <c r="F50" s="8"/>
      <c r="G50" s="8"/>
      <c r="H50" s="8"/>
      <c r="I50" s="8"/>
      <c r="J50" s="8"/>
    </row>
  </sheetData>
  <mergeCells count="8">
    <mergeCell ref="A31:A39"/>
    <mergeCell ref="A40:A50"/>
    <mergeCell ref="A2:A6"/>
    <mergeCell ref="A7:A12"/>
    <mergeCell ref="A13:A17"/>
    <mergeCell ref="A18:A22"/>
    <mergeCell ref="A23:A25"/>
    <mergeCell ref="A26:A3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3E72-5945-449D-9AFC-242461A311AF}">
  <sheetPr codeName="Sheet1"/>
  <dimension ref="A1:T68"/>
  <sheetViews>
    <sheetView tabSelected="1" workbookViewId="0">
      <selection activeCell="U8" sqref="U8"/>
    </sheetView>
  </sheetViews>
  <sheetFormatPr defaultRowHeight="17" x14ac:dyDescent="0.45"/>
  <cols>
    <col min="2" max="2" width="19.6640625" customWidth="1"/>
    <col min="3" max="3" width="8.58203125" customWidth="1"/>
    <col min="4" max="6" width="1.58203125" customWidth="1"/>
    <col min="7" max="7" width="14.6640625" hidden="1" customWidth="1"/>
    <col min="8" max="10" width="6.58203125" hidden="1" customWidth="1"/>
    <col min="11" max="11" width="8.6640625" hidden="1" customWidth="1"/>
    <col min="12" max="12" width="15" hidden="1" customWidth="1"/>
    <col min="13" max="14" width="6.58203125" hidden="1" customWidth="1"/>
    <col min="15" max="15" width="8.6640625" hidden="1" customWidth="1"/>
    <col min="16" max="16" width="1.58203125" customWidth="1"/>
    <col min="17" max="17" width="15" customWidth="1"/>
    <col min="18" max="18" width="8.58203125" customWidth="1"/>
    <col min="19" max="19" width="10.58203125" customWidth="1"/>
    <col min="20" max="20" width="8.6640625" customWidth="1"/>
  </cols>
  <sheetData>
    <row r="1" spans="1:20" x14ac:dyDescent="0.45">
      <c r="A1" t="s">
        <v>21</v>
      </c>
      <c r="G1" t="s">
        <v>88</v>
      </c>
      <c r="Q1" t="s">
        <v>87</v>
      </c>
    </row>
    <row r="2" spans="1:20" x14ac:dyDescent="0.45">
      <c r="A2" s="8" t="s">
        <v>89</v>
      </c>
      <c r="B2" s="8" t="s">
        <v>90</v>
      </c>
      <c r="C2" s="8" t="s">
        <v>95</v>
      </c>
      <c r="D2" s="5"/>
      <c r="E2" s="5"/>
      <c r="F2" s="5"/>
      <c r="G2" s="8" t="s">
        <v>90</v>
      </c>
      <c r="H2" s="8" t="s">
        <v>23</v>
      </c>
      <c r="I2" s="8" t="s">
        <v>24</v>
      </c>
      <c r="J2" s="8" t="s">
        <v>25</v>
      </c>
      <c r="K2" s="8" t="s">
        <v>26</v>
      </c>
      <c r="L2" s="8" t="s">
        <v>92</v>
      </c>
      <c r="M2" s="12" t="s">
        <v>23</v>
      </c>
      <c r="N2" s="12" t="s">
        <v>25</v>
      </c>
      <c r="O2" s="7" t="s">
        <v>26</v>
      </c>
      <c r="P2" s="7"/>
      <c r="Q2" s="12" t="s">
        <v>90</v>
      </c>
      <c r="R2" s="12" t="s">
        <v>91</v>
      </c>
      <c r="S2" s="12" t="s">
        <v>94</v>
      </c>
      <c r="T2" s="12" t="s">
        <v>93</v>
      </c>
    </row>
    <row r="3" spans="1:20" x14ac:dyDescent="0.45">
      <c r="A3" s="9" t="s">
        <v>22</v>
      </c>
      <c r="B3" s="10" t="s">
        <v>12</v>
      </c>
      <c r="C3" s="11"/>
      <c r="D3" s="5"/>
      <c r="E3" s="5"/>
      <c r="F3" s="5"/>
      <c r="G3" s="10" t="s">
        <v>12</v>
      </c>
      <c r="H3" s="8">
        <v>1</v>
      </c>
      <c r="I3" s="8"/>
      <c r="J3" s="8"/>
      <c r="K3" s="8">
        <f>Inventory!F2</f>
        <v>0</v>
      </c>
      <c r="L3" s="8" t="s">
        <v>27</v>
      </c>
      <c r="M3" s="8"/>
      <c r="N3" s="8"/>
      <c r="O3" s="5">
        <f>Inventory!J2</f>
        <v>0</v>
      </c>
      <c r="P3" s="5"/>
      <c r="Q3" s="8" t="s">
        <v>158</v>
      </c>
      <c r="R3" s="13">
        <v>12</v>
      </c>
      <c r="S3" s="8">
        <v>12</v>
      </c>
      <c r="T3" s="14">
        <f>IF(S3=0, 1, MIN(1, (S3-R3)/S3))</f>
        <v>0</v>
      </c>
    </row>
    <row r="4" spans="1:20" x14ac:dyDescent="0.45">
      <c r="A4" s="9"/>
      <c r="B4" s="10" t="s">
        <v>14</v>
      </c>
      <c r="C4" s="11"/>
      <c r="D4" s="5"/>
      <c r="E4" s="5"/>
      <c r="F4" s="5"/>
      <c r="G4" s="10" t="s">
        <v>14</v>
      </c>
      <c r="H4" s="8">
        <v>2</v>
      </c>
      <c r="I4" s="8"/>
      <c r="J4" s="8"/>
      <c r="K4" s="8">
        <f>Inventory!F3</f>
        <v>0</v>
      </c>
      <c r="L4" s="8" t="s">
        <v>28</v>
      </c>
      <c r="M4" s="8"/>
      <c r="N4" s="8"/>
      <c r="O4" s="5">
        <f>Inventory!J3</f>
        <v>0</v>
      </c>
      <c r="P4" s="5"/>
      <c r="Q4" s="8" t="s">
        <v>148</v>
      </c>
      <c r="R4" s="13">
        <v>24</v>
      </c>
      <c r="S4" s="8">
        <v>24</v>
      </c>
      <c r="T4" s="14">
        <f t="shared" ref="T4:T41" si="0">IF(S4=0, 1, MIN(1, (S4-R4)/S4))</f>
        <v>0</v>
      </c>
    </row>
    <row r="5" spans="1:20" x14ac:dyDescent="0.45">
      <c r="A5" s="9"/>
      <c r="B5" s="10" t="s">
        <v>16</v>
      </c>
      <c r="C5" s="11"/>
      <c r="D5" s="5"/>
      <c r="E5" s="5"/>
      <c r="F5" s="5"/>
      <c r="G5" s="10" t="s">
        <v>16</v>
      </c>
      <c r="H5" s="8">
        <v>1</v>
      </c>
      <c r="I5" s="8"/>
      <c r="J5" s="8">
        <v>1</v>
      </c>
      <c r="K5" s="8">
        <f>Inventory!F4</f>
        <v>0</v>
      </c>
      <c r="L5" s="8" t="s">
        <v>29</v>
      </c>
      <c r="M5" s="8"/>
      <c r="N5" s="8"/>
      <c r="O5" s="5">
        <f>Inventory!J4</f>
        <v>0</v>
      </c>
      <c r="P5" s="5"/>
      <c r="Q5" s="8" t="s">
        <v>143</v>
      </c>
      <c r="R5" s="13">
        <v>12</v>
      </c>
      <c r="S5" s="8">
        <v>12</v>
      </c>
      <c r="T5" s="14">
        <f t="shared" si="0"/>
        <v>0</v>
      </c>
    </row>
    <row r="6" spans="1:20" x14ac:dyDescent="0.45">
      <c r="A6" s="9"/>
      <c r="B6" s="10" t="s">
        <v>18</v>
      </c>
      <c r="C6" s="11"/>
      <c r="D6" s="5"/>
      <c r="E6" s="5"/>
      <c r="F6" s="5"/>
      <c r="G6" s="10" t="s">
        <v>18</v>
      </c>
      <c r="H6" s="8">
        <v>1</v>
      </c>
      <c r="I6" s="8"/>
      <c r="J6" s="8"/>
      <c r="K6" s="8">
        <f>Inventory!F5</f>
        <v>0</v>
      </c>
      <c r="L6" s="8"/>
      <c r="M6" s="8"/>
      <c r="N6" s="8"/>
      <c r="O6" s="5"/>
      <c r="P6" s="5"/>
      <c r="Q6" s="8" t="s">
        <v>152</v>
      </c>
      <c r="R6" s="8">
        <v>13</v>
      </c>
      <c r="S6" s="8">
        <v>13</v>
      </c>
      <c r="T6" s="14">
        <f t="shared" si="0"/>
        <v>0</v>
      </c>
    </row>
    <row r="7" spans="1:20" x14ac:dyDescent="0.45">
      <c r="A7" s="9"/>
      <c r="B7" s="10" t="s">
        <v>19</v>
      </c>
      <c r="C7" s="11"/>
      <c r="D7" s="5"/>
      <c r="E7" s="5"/>
      <c r="F7" s="5"/>
      <c r="G7" s="10" t="s">
        <v>19</v>
      </c>
      <c r="H7" s="8">
        <v>1</v>
      </c>
      <c r="I7" s="8"/>
      <c r="J7" s="8"/>
      <c r="K7" s="8">
        <f>Inventory!F6</f>
        <v>0</v>
      </c>
      <c r="L7" s="8"/>
      <c r="M7" s="8"/>
      <c r="N7" s="8"/>
      <c r="O7" s="5"/>
      <c r="P7" s="5"/>
      <c r="Q7" s="8" t="s">
        <v>146</v>
      </c>
      <c r="R7" s="8">
        <v>30</v>
      </c>
      <c r="S7" s="8">
        <v>30</v>
      </c>
      <c r="T7" s="14">
        <f t="shared" si="0"/>
        <v>0</v>
      </c>
    </row>
    <row r="8" spans="1:20" x14ac:dyDescent="0.45">
      <c r="A8" s="15" t="s">
        <v>30</v>
      </c>
      <c r="B8" s="3" t="s">
        <v>30</v>
      </c>
      <c r="C8" s="20"/>
      <c r="D8" s="5"/>
      <c r="E8" s="5"/>
      <c r="F8" s="5"/>
      <c r="G8" s="6"/>
      <c r="H8" s="5"/>
      <c r="I8" s="5"/>
      <c r="J8" s="5"/>
      <c r="K8" s="5"/>
      <c r="L8" s="5"/>
      <c r="M8" s="5"/>
      <c r="N8" s="5"/>
      <c r="O8" s="5"/>
      <c r="P8" s="5"/>
      <c r="Q8" s="8"/>
      <c r="R8" s="8"/>
      <c r="S8" s="8"/>
      <c r="T8" s="14">
        <f t="shared" si="0"/>
        <v>1</v>
      </c>
    </row>
    <row r="9" spans="1:20" x14ac:dyDescent="0.45">
      <c r="A9" s="18"/>
      <c r="B9" s="3" t="s">
        <v>31</v>
      </c>
      <c r="C9" s="20"/>
      <c r="D9" s="5"/>
      <c r="E9" s="5"/>
      <c r="F9" s="5"/>
      <c r="G9" s="6"/>
      <c r="H9" s="5"/>
      <c r="I9" s="5"/>
      <c r="J9" s="5"/>
      <c r="K9" s="5"/>
      <c r="L9" s="5"/>
      <c r="M9" s="5"/>
      <c r="N9" s="5"/>
      <c r="O9" s="5"/>
      <c r="P9" s="5"/>
      <c r="Q9" s="8"/>
      <c r="R9" s="8"/>
      <c r="S9" s="8"/>
      <c r="T9" s="14">
        <f t="shared" si="0"/>
        <v>1</v>
      </c>
    </row>
    <row r="10" spans="1:20" x14ac:dyDescent="0.45">
      <c r="A10" s="18"/>
      <c r="B10" s="3" t="s">
        <v>32</v>
      </c>
      <c r="C10" s="20"/>
      <c r="D10" s="5"/>
      <c r="E10" s="5"/>
      <c r="F10" s="5"/>
      <c r="G10" s="6"/>
      <c r="H10" s="5"/>
      <c r="I10" s="5"/>
      <c r="J10" s="5"/>
      <c r="K10" s="5"/>
      <c r="L10" s="5"/>
      <c r="M10" s="5"/>
      <c r="N10" s="5"/>
      <c r="O10" s="5"/>
      <c r="P10" s="5"/>
      <c r="Q10" s="8"/>
      <c r="R10" s="8"/>
      <c r="S10" s="8"/>
      <c r="T10" s="14">
        <f t="shared" si="0"/>
        <v>1</v>
      </c>
    </row>
    <row r="11" spans="1:20" x14ac:dyDescent="0.45">
      <c r="A11" s="18"/>
      <c r="B11" s="3" t="s">
        <v>33</v>
      </c>
      <c r="C11" s="20"/>
      <c r="D11" s="5"/>
      <c r="E11" s="5"/>
      <c r="F11" s="5"/>
      <c r="G11" s="6"/>
      <c r="H11" s="5"/>
      <c r="I11" s="5"/>
      <c r="J11" s="5"/>
      <c r="K11" s="5"/>
      <c r="L11" s="5"/>
      <c r="M11" s="5"/>
      <c r="N11" s="5"/>
      <c r="O11" s="5"/>
      <c r="P11" s="5"/>
      <c r="Q11" s="8"/>
      <c r="R11" s="8"/>
      <c r="S11" s="8"/>
      <c r="T11" s="14">
        <f t="shared" si="0"/>
        <v>1</v>
      </c>
    </row>
    <row r="12" spans="1:20" x14ac:dyDescent="0.45">
      <c r="A12" s="18"/>
      <c r="B12" s="3" t="s">
        <v>34</v>
      </c>
      <c r="C12" s="20"/>
      <c r="D12" s="5"/>
      <c r="E12" s="5"/>
      <c r="F12" s="5"/>
      <c r="G12" s="6"/>
      <c r="H12" s="5"/>
      <c r="I12" s="5"/>
      <c r="J12" s="5"/>
      <c r="K12" s="5"/>
      <c r="L12" s="5"/>
      <c r="M12" s="5"/>
      <c r="N12" s="5"/>
      <c r="O12" s="5"/>
      <c r="P12" s="5"/>
      <c r="Q12" s="8"/>
      <c r="R12" s="8"/>
      <c r="S12" s="8"/>
      <c r="T12" s="14">
        <f t="shared" si="0"/>
        <v>1</v>
      </c>
    </row>
    <row r="13" spans="1:20" x14ac:dyDescent="0.45">
      <c r="A13" s="19"/>
      <c r="B13" s="3" t="s">
        <v>35</v>
      </c>
      <c r="C13" s="20"/>
      <c r="D13" s="5"/>
      <c r="E13" s="5"/>
      <c r="F13" s="5"/>
      <c r="G13" s="6"/>
      <c r="H13" s="5"/>
      <c r="I13" s="5"/>
      <c r="J13" s="5"/>
      <c r="K13" s="5"/>
      <c r="L13" s="5"/>
      <c r="M13" s="5"/>
      <c r="N13" s="5"/>
      <c r="O13" s="5"/>
      <c r="P13" s="5"/>
      <c r="Q13" s="8"/>
      <c r="R13" s="8"/>
      <c r="S13" s="8"/>
      <c r="T13" s="14">
        <f t="shared" si="0"/>
        <v>1</v>
      </c>
    </row>
    <row r="14" spans="1:20" x14ac:dyDescent="0.45">
      <c r="A14" s="15" t="s">
        <v>36</v>
      </c>
      <c r="B14" s="3" t="s">
        <v>36</v>
      </c>
      <c r="C14" s="20"/>
      <c r="D14" s="5"/>
      <c r="E14" s="5"/>
      <c r="F14" s="5"/>
      <c r="G14" s="6"/>
      <c r="H14" s="5"/>
      <c r="I14" s="5"/>
      <c r="J14" s="5"/>
      <c r="K14" s="5"/>
      <c r="L14" s="5"/>
      <c r="M14" s="5"/>
      <c r="N14" s="5"/>
      <c r="O14" s="5"/>
      <c r="P14" s="5"/>
      <c r="Q14" s="8"/>
      <c r="R14" s="8"/>
      <c r="S14" s="8"/>
      <c r="T14" s="14">
        <f t="shared" si="0"/>
        <v>1</v>
      </c>
    </row>
    <row r="15" spans="1:20" x14ac:dyDescent="0.45">
      <c r="A15" s="18"/>
      <c r="B15" s="3" t="s">
        <v>37</v>
      </c>
      <c r="C15" s="20"/>
      <c r="D15" s="5"/>
      <c r="E15" s="5"/>
      <c r="F15" s="5"/>
      <c r="G15" s="6"/>
      <c r="H15" s="5"/>
      <c r="I15" s="5"/>
      <c r="J15" s="5"/>
      <c r="K15" s="5"/>
      <c r="L15" s="5"/>
      <c r="M15" s="5"/>
      <c r="N15" s="5"/>
      <c r="O15" s="5"/>
      <c r="P15" s="5"/>
      <c r="Q15" s="8"/>
      <c r="R15" s="8"/>
      <c r="S15" s="8"/>
      <c r="T15" s="14">
        <f t="shared" si="0"/>
        <v>1</v>
      </c>
    </row>
    <row r="16" spans="1:20" x14ac:dyDescent="0.45">
      <c r="A16" s="18"/>
      <c r="B16" s="3" t="s">
        <v>38</v>
      </c>
      <c r="C16" s="20"/>
      <c r="D16" s="5"/>
      <c r="E16" s="5"/>
      <c r="F16" s="5"/>
      <c r="G16" s="6"/>
      <c r="H16" s="5"/>
      <c r="I16" s="5"/>
      <c r="J16" s="5"/>
      <c r="K16" s="5"/>
      <c r="L16" s="5"/>
      <c r="M16" s="5"/>
      <c r="N16" s="5"/>
      <c r="O16" s="5"/>
      <c r="P16" s="5"/>
      <c r="Q16" s="8"/>
      <c r="R16" s="8"/>
      <c r="S16" s="8"/>
      <c r="T16" s="14">
        <f t="shared" si="0"/>
        <v>1</v>
      </c>
    </row>
    <row r="17" spans="1:20" x14ac:dyDescent="0.45">
      <c r="A17" s="18"/>
      <c r="B17" s="3" t="s">
        <v>39</v>
      </c>
      <c r="C17" s="20"/>
      <c r="D17" s="5"/>
      <c r="E17" s="5"/>
      <c r="F17" s="5"/>
      <c r="G17" s="6"/>
      <c r="H17" s="5"/>
      <c r="I17" s="5"/>
      <c r="J17" s="5"/>
      <c r="K17" s="5"/>
      <c r="L17" s="5"/>
      <c r="M17" s="5"/>
      <c r="N17" s="5"/>
      <c r="O17" s="5"/>
      <c r="P17" s="5"/>
      <c r="Q17" s="8"/>
      <c r="R17" s="8"/>
      <c r="S17" s="8"/>
      <c r="T17" s="14">
        <f t="shared" si="0"/>
        <v>1</v>
      </c>
    </row>
    <row r="18" spans="1:20" x14ac:dyDescent="0.45">
      <c r="A18" s="19"/>
      <c r="B18" s="3" t="s">
        <v>40</v>
      </c>
      <c r="C18" s="20"/>
      <c r="D18" s="5"/>
      <c r="E18" s="5"/>
      <c r="F18" s="5"/>
      <c r="G18" s="6"/>
      <c r="H18" s="5"/>
      <c r="I18" s="5"/>
      <c r="J18" s="5"/>
      <c r="K18" s="5"/>
      <c r="L18" s="5"/>
      <c r="M18" s="5"/>
      <c r="N18" s="5"/>
      <c r="O18" s="5"/>
      <c r="P18" s="5"/>
      <c r="Q18" s="8"/>
      <c r="R18" s="8"/>
      <c r="S18" s="8"/>
      <c r="T18" s="14">
        <f t="shared" si="0"/>
        <v>1</v>
      </c>
    </row>
    <row r="19" spans="1:20" x14ac:dyDescent="0.45">
      <c r="A19" s="15" t="s">
        <v>41</v>
      </c>
      <c r="B19" s="3" t="s">
        <v>41</v>
      </c>
      <c r="C19" s="20"/>
      <c r="D19" s="5"/>
      <c r="E19" s="5"/>
      <c r="F19" s="5"/>
      <c r="G19" s="6"/>
      <c r="H19" s="5"/>
      <c r="I19" s="5"/>
      <c r="J19" s="5"/>
      <c r="K19" s="5"/>
      <c r="L19" s="5"/>
      <c r="M19" s="5"/>
      <c r="N19" s="5"/>
      <c r="O19" s="5"/>
      <c r="P19" s="5"/>
      <c r="Q19" s="8"/>
      <c r="R19" s="8"/>
      <c r="S19" s="8"/>
      <c r="T19" s="14">
        <f t="shared" si="0"/>
        <v>1</v>
      </c>
    </row>
    <row r="20" spans="1:20" x14ac:dyDescent="0.45">
      <c r="A20" s="18"/>
      <c r="B20" s="3" t="s">
        <v>42</v>
      </c>
      <c r="C20" s="20"/>
      <c r="D20" s="5"/>
      <c r="E20" s="5"/>
      <c r="F20" s="5"/>
      <c r="G20" s="6"/>
      <c r="H20" s="5"/>
      <c r="I20" s="5"/>
      <c r="J20" s="5"/>
      <c r="K20" s="5"/>
      <c r="L20" s="5"/>
      <c r="M20" s="5"/>
      <c r="N20" s="5"/>
      <c r="O20" s="5"/>
      <c r="P20" s="5"/>
      <c r="Q20" s="8"/>
      <c r="R20" s="8"/>
      <c r="S20" s="8"/>
      <c r="T20" s="14">
        <f t="shared" si="0"/>
        <v>1</v>
      </c>
    </row>
    <row r="21" spans="1:20" x14ac:dyDescent="0.45">
      <c r="A21" s="18"/>
      <c r="B21" s="3" t="s">
        <v>43</v>
      </c>
      <c r="C21" s="20"/>
      <c r="D21" s="5"/>
      <c r="E21" s="5"/>
      <c r="F21" s="5"/>
      <c r="G21" s="6"/>
      <c r="H21" s="5"/>
      <c r="I21" s="5"/>
      <c r="J21" s="5"/>
      <c r="K21" s="5"/>
      <c r="L21" s="5"/>
      <c r="M21" s="5"/>
      <c r="N21" s="5"/>
      <c r="O21" s="5"/>
      <c r="P21" s="5"/>
      <c r="Q21" s="8"/>
      <c r="R21" s="8"/>
      <c r="S21" s="8"/>
      <c r="T21" s="14">
        <f t="shared" si="0"/>
        <v>1</v>
      </c>
    </row>
    <row r="22" spans="1:20" x14ac:dyDescent="0.45">
      <c r="A22" s="18"/>
      <c r="B22" s="3" t="s">
        <v>44</v>
      </c>
      <c r="C22" s="20"/>
      <c r="D22" s="5"/>
      <c r="E22" s="5"/>
      <c r="F22" s="5"/>
      <c r="G22" s="6"/>
      <c r="H22" s="5"/>
      <c r="I22" s="5"/>
      <c r="J22" s="5"/>
      <c r="K22" s="5"/>
      <c r="L22" s="5"/>
      <c r="M22" s="5"/>
      <c r="N22" s="5"/>
      <c r="O22" s="5"/>
      <c r="P22" s="5"/>
      <c r="Q22" s="8"/>
      <c r="R22" s="8"/>
      <c r="S22" s="8"/>
      <c r="T22" s="14">
        <f t="shared" si="0"/>
        <v>1</v>
      </c>
    </row>
    <row r="23" spans="1:20" x14ac:dyDescent="0.45">
      <c r="A23" s="19"/>
      <c r="B23" s="3" t="s">
        <v>45</v>
      </c>
      <c r="C23" s="20"/>
      <c r="D23" s="5"/>
      <c r="E23" s="5"/>
      <c r="F23" s="5"/>
      <c r="G23" s="6"/>
      <c r="H23" s="5"/>
      <c r="I23" s="5"/>
      <c r="J23" s="5"/>
      <c r="K23" s="5"/>
      <c r="L23" s="5"/>
      <c r="M23" s="5"/>
      <c r="N23" s="5"/>
      <c r="O23" s="5"/>
      <c r="P23" s="5"/>
      <c r="Q23" s="8"/>
      <c r="R23" s="8"/>
      <c r="S23" s="8"/>
      <c r="T23" s="14">
        <f t="shared" si="0"/>
        <v>1</v>
      </c>
    </row>
    <row r="24" spans="1:20" x14ac:dyDescent="0.45">
      <c r="A24" s="15" t="s">
        <v>46</v>
      </c>
      <c r="B24" s="3" t="s">
        <v>46</v>
      </c>
      <c r="C24" s="20"/>
      <c r="D24" s="5"/>
      <c r="E24" s="5"/>
      <c r="F24" s="5"/>
      <c r="G24" s="6"/>
      <c r="H24" s="5"/>
      <c r="I24" s="5"/>
      <c r="J24" s="5"/>
      <c r="K24" s="5"/>
      <c r="L24" s="5"/>
      <c r="M24" s="5"/>
      <c r="N24" s="5"/>
      <c r="O24" s="5"/>
      <c r="P24" s="5"/>
      <c r="Q24" s="8"/>
      <c r="R24" s="8"/>
      <c r="S24" s="8"/>
      <c r="T24" s="14">
        <f t="shared" si="0"/>
        <v>1</v>
      </c>
    </row>
    <row r="25" spans="1:20" x14ac:dyDescent="0.45">
      <c r="A25" s="18"/>
      <c r="B25" s="3" t="s">
        <v>47</v>
      </c>
      <c r="C25" s="20"/>
      <c r="D25" s="5"/>
      <c r="E25" s="5"/>
      <c r="F25" s="5"/>
      <c r="G25" s="6"/>
      <c r="H25" s="5"/>
      <c r="I25" s="5"/>
      <c r="J25" s="5"/>
      <c r="K25" s="5"/>
      <c r="L25" s="5"/>
      <c r="M25" s="5"/>
      <c r="N25" s="5"/>
      <c r="O25" s="5"/>
      <c r="P25" s="5"/>
      <c r="Q25" s="8"/>
      <c r="R25" s="8"/>
      <c r="S25" s="8"/>
      <c r="T25" s="14">
        <f t="shared" si="0"/>
        <v>1</v>
      </c>
    </row>
    <row r="26" spans="1:20" x14ac:dyDescent="0.45">
      <c r="A26" s="19"/>
      <c r="B26" s="3" t="s">
        <v>48</v>
      </c>
      <c r="C26" s="20"/>
      <c r="D26" s="5"/>
      <c r="E26" s="5"/>
      <c r="F26" s="5"/>
      <c r="G26" s="6"/>
      <c r="H26" s="5"/>
      <c r="I26" s="5"/>
      <c r="J26" s="5"/>
      <c r="K26" s="5"/>
      <c r="L26" s="5"/>
      <c r="M26" s="5"/>
      <c r="N26" s="5"/>
      <c r="O26" s="5"/>
      <c r="P26" s="5"/>
      <c r="Q26" s="8"/>
      <c r="R26" s="8"/>
      <c r="S26" s="8"/>
      <c r="T26" s="14">
        <f t="shared" si="0"/>
        <v>1</v>
      </c>
    </row>
    <row r="27" spans="1:20" x14ac:dyDescent="0.45">
      <c r="A27" s="15" t="s">
        <v>49</v>
      </c>
      <c r="B27" s="3" t="s">
        <v>50</v>
      </c>
      <c r="C27" s="20"/>
      <c r="D27" s="5"/>
      <c r="E27" s="5"/>
      <c r="F27" s="5"/>
      <c r="G27" s="6"/>
      <c r="H27" s="5"/>
      <c r="I27" s="5"/>
      <c r="J27" s="5"/>
      <c r="K27" s="5"/>
      <c r="L27" s="5"/>
      <c r="M27" s="5"/>
      <c r="N27" s="5"/>
      <c r="O27" s="5"/>
      <c r="P27" s="5"/>
      <c r="Q27" s="8"/>
      <c r="R27" s="8"/>
      <c r="S27" s="8"/>
      <c r="T27" s="14">
        <f t="shared" si="0"/>
        <v>1</v>
      </c>
    </row>
    <row r="28" spans="1:20" x14ac:dyDescent="0.45">
      <c r="A28" s="18"/>
      <c r="B28" s="4" t="s">
        <v>51</v>
      </c>
      <c r="C28" s="2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8"/>
      <c r="R28" s="8"/>
      <c r="S28" s="8"/>
      <c r="T28" s="14">
        <f t="shared" si="0"/>
        <v>1</v>
      </c>
    </row>
    <row r="29" spans="1:20" x14ac:dyDescent="0.45">
      <c r="A29" s="18"/>
      <c r="B29" s="3" t="s">
        <v>53</v>
      </c>
      <c r="C29" s="20"/>
      <c r="D29" s="5"/>
      <c r="E29" s="5"/>
      <c r="F29" s="5"/>
      <c r="G29" s="6"/>
      <c r="H29" s="5"/>
      <c r="I29" s="5"/>
      <c r="J29" s="5"/>
      <c r="K29" s="5"/>
      <c r="L29" s="5"/>
      <c r="M29" s="5"/>
      <c r="N29" s="5"/>
      <c r="O29" s="5"/>
      <c r="P29" s="5"/>
      <c r="Q29" s="8"/>
      <c r="R29" s="8"/>
      <c r="S29" s="8"/>
      <c r="T29" s="14">
        <f t="shared" si="0"/>
        <v>1</v>
      </c>
    </row>
    <row r="30" spans="1:20" x14ac:dyDescent="0.45">
      <c r="A30" s="18"/>
      <c r="B30" s="3" t="s">
        <v>52</v>
      </c>
      <c r="C30" s="20"/>
      <c r="D30" s="5"/>
      <c r="E30" s="5"/>
      <c r="F30" s="5"/>
      <c r="G30" s="6"/>
      <c r="H30" s="5"/>
      <c r="I30" s="5"/>
      <c r="J30" s="5"/>
      <c r="K30" s="5"/>
      <c r="L30" s="5"/>
      <c r="M30" s="5"/>
      <c r="N30" s="5"/>
      <c r="O30" s="5"/>
      <c r="P30" s="5"/>
      <c r="Q30" s="8"/>
      <c r="R30" s="8"/>
      <c r="S30" s="8"/>
      <c r="T30" s="14">
        <f t="shared" si="0"/>
        <v>1</v>
      </c>
    </row>
    <row r="31" spans="1:20" x14ac:dyDescent="0.45">
      <c r="A31" s="19"/>
      <c r="B31" s="3" t="s">
        <v>80</v>
      </c>
      <c r="C31" s="20"/>
      <c r="D31" s="5"/>
      <c r="E31" s="5"/>
      <c r="F31" s="5"/>
      <c r="G31" s="6"/>
      <c r="H31" s="5"/>
      <c r="I31" s="5"/>
      <c r="J31" s="5"/>
      <c r="K31" s="5"/>
      <c r="L31" s="5"/>
      <c r="M31" s="5"/>
      <c r="N31" s="5"/>
      <c r="O31" s="5"/>
      <c r="P31" s="5"/>
      <c r="Q31" s="8"/>
      <c r="R31" s="8"/>
      <c r="S31" s="8"/>
      <c r="T31" s="14">
        <f t="shared" si="0"/>
        <v>1</v>
      </c>
    </row>
    <row r="32" spans="1:20" x14ac:dyDescent="0.45">
      <c r="A32" s="15" t="s">
        <v>96</v>
      </c>
      <c r="B32" s="3" t="s">
        <v>54</v>
      </c>
      <c r="C32" s="20"/>
      <c r="Q32" s="8"/>
      <c r="R32" s="8"/>
      <c r="S32" s="8"/>
      <c r="T32" s="14">
        <f t="shared" si="0"/>
        <v>1</v>
      </c>
    </row>
    <row r="33" spans="1:20" x14ac:dyDescent="0.45">
      <c r="A33" s="18"/>
      <c r="B33" s="3" t="s">
        <v>55</v>
      </c>
      <c r="C33" s="20"/>
      <c r="Q33" s="8"/>
      <c r="R33" s="8"/>
      <c r="S33" s="8"/>
      <c r="T33" s="14">
        <f t="shared" si="0"/>
        <v>1</v>
      </c>
    </row>
    <row r="34" spans="1:20" x14ac:dyDescent="0.45">
      <c r="A34" s="18"/>
      <c r="B34" s="3" t="s">
        <v>56</v>
      </c>
      <c r="C34" s="20"/>
      <c r="Q34" s="8"/>
      <c r="R34" s="8"/>
      <c r="S34" s="8"/>
      <c r="T34" s="14">
        <f t="shared" si="0"/>
        <v>1</v>
      </c>
    </row>
    <row r="35" spans="1:20" x14ac:dyDescent="0.45">
      <c r="A35" s="18"/>
      <c r="B35" s="3" t="s">
        <v>57</v>
      </c>
      <c r="C35" s="20"/>
      <c r="Q35" s="8"/>
      <c r="R35" s="8"/>
      <c r="S35" s="8"/>
      <c r="T35" s="14">
        <f t="shared" si="0"/>
        <v>1</v>
      </c>
    </row>
    <row r="36" spans="1:20" x14ac:dyDescent="0.45">
      <c r="A36" s="18"/>
      <c r="B36" s="3" t="s">
        <v>58</v>
      </c>
      <c r="C36" s="20"/>
      <c r="Q36" s="8"/>
      <c r="R36" s="8"/>
      <c r="S36" s="8"/>
      <c r="T36" s="14">
        <f t="shared" si="0"/>
        <v>1</v>
      </c>
    </row>
    <row r="37" spans="1:20" x14ac:dyDescent="0.45">
      <c r="A37" s="18"/>
      <c r="B37" s="3" t="s">
        <v>59</v>
      </c>
      <c r="C37" s="20"/>
      <c r="Q37" s="8"/>
      <c r="R37" s="8"/>
      <c r="S37" s="8"/>
      <c r="T37" s="14">
        <f t="shared" si="0"/>
        <v>1</v>
      </c>
    </row>
    <row r="38" spans="1:20" x14ac:dyDescent="0.45">
      <c r="A38" s="18"/>
      <c r="B38" s="3" t="s">
        <v>60</v>
      </c>
      <c r="C38" s="20"/>
      <c r="Q38" s="8"/>
      <c r="R38" s="8"/>
      <c r="S38" s="8"/>
      <c r="T38" s="14">
        <f t="shared" si="0"/>
        <v>1</v>
      </c>
    </row>
    <row r="39" spans="1:20" x14ac:dyDescent="0.45">
      <c r="A39" s="18"/>
      <c r="B39" s="3" t="s">
        <v>61</v>
      </c>
      <c r="C39" s="20"/>
      <c r="Q39" s="8"/>
      <c r="R39" s="8"/>
      <c r="S39" s="8"/>
      <c r="T39" s="14">
        <f t="shared" si="0"/>
        <v>1</v>
      </c>
    </row>
    <row r="40" spans="1:20" x14ac:dyDescent="0.45">
      <c r="A40" s="19"/>
      <c r="B40" s="3" t="s">
        <v>62</v>
      </c>
      <c r="C40" s="20"/>
      <c r="Q40" s="8"/>
      <c r="R40" s="8"/>
      <c r="S40" s="8"/>
      <c r="T40" s="14">
        <f t="shared" si="0"/>
        <v>1</v>
      </c>
    </row>
    <row r="41" spans="1:20" x14ac:dyDescent="0.45">
      <c r="A41" s="15" t="s">
        <v>63</v>
      </c>
      <c r="B41" s="3" t="s">
        <v>131</v>
      </c>
      <c r="C41" s="20"/>
      <c r="Q41" s="8"/>
      <c r="R41" s="8"/>
      <c r="S41" s="8"/>
      <c r="T41" s="14">
        <f t="shared" si="0"/>
        <v>1</v>
      </c>
    </row>
    <row r="42" spans="1:20" x14ac:dyDescent="0.45">
      <c r="A42" s="18"/>
      <c r="B42" s="3" t="s">
        <v>133</v>
      </c>
      <c r="C42" s="20">
        <v>1</v>
      </c>
    </row>
    <row r="43" spans="1:20" x14ac:dyDescent="0.45">
      <c r="A43" s="18"/>
      <c r="B43" s="3" t="s">
        <v>140</v>
      </c>
      <c r="C43" s="20"/>
    </row>
    <row r="44" spans="1:20" x14ac:dyDescent="0.45">
      <c r="A44" s="18"/>
      <c r="B44" s="4" t="s">
        <v>127</v>
      </c>
      <c r="C44" s="20"/>
    </row>
    <row r="45" spans="1:20" x14ac:dyDescent="0.45">
      <c r="A45" s="18"/>
      <c r="B45" s="4" t="s">
        <v>111</v>
      </c>
      <c r="C45" s="20"/>
    </row>
    <row r="46" spans="1:20" x14ac:dyDescent="0.45">
      <c r="A46" s="18"/>
      <c r="B46" s="3" t="s">
        <v>175</v>
      </c>
      <c r="C46" s="20"/>
    </row>
    <row r="47" spans="1:20" x14ac:dyDescent="0.45">
      <c r="A47" s="19"/>
      <c r="B47" s="3" t="s">
        <v>115</v>
      </c>
      <c r="C47" s="20"/>
    </row>
    <row r="48" spans="1:20" x14ac:dyDescent="0.45">
      <c r="A48" s="4" t="s">
        <v>176</v>
      </c>
      <c r="B48" s="3"/>
      <c r="C48" s="20"/>
    </row>
    <row r="49" spans="1:3" x14ac:dyDescent="0.45">
      <c r="A49" s="4"/>
      <c r="B49" s="3"/>
      <c r="C49" s="20"/>
    </row>
    <row r="50" spans="1:3" x14ac:dyDescent="0.45">
      <c r="A50" s="4"/>
      <c r="B50" s="4"/>
      <c r="C50" s="20"/>
    </row>
    <row r="51" spans="1:3" x14ac:dyDescent="0.45">
      <c r="A51" s="4"/>
      <c r="B51" s="4"/>
      <c r="C51" s="20"/>
    </row>
    <row r="52" spans="1:3" x14ac:dyDescent="0.45">
      <c r="A52" s="4"/>
      <c r="B52" s="4"/>
      <c r="C52" s="20"/>
    </row>
    <row r="53" spans="1:3" x14ac:dyDescent="0.45">
      <c r="A53" s="4"/>
      <c r="B53" s="4"/>
      <c r="C53" s="20"/>
    </row>
    <row r="54" spans="1:3" x14ac:dyDescent="0.45">
      <c r="A54" s="4"/>
      <c r="B54" s="4"/>
      <c r="C54" s="20"/>
    </row>
    <row r="55" spans="1:3" x14ac:dyDescent="0.45">
      <c r="A55" s="4"/>
      <c r="B55" s="4"/>
      <c r="C55" s="20"/>
    </row>
    <row r="56" spans="1:3" x14ac:dyDescent="0.45">
      <c r="A56" s="4"/>
      <c r="B56" s="4"/>
      <c r="C56" s="20"/>
    </row>
    <row r="57" spans="1:3" x14ac:dyDescent="0.45">
      <c r="A57" s="4"/>
      <c r="B57" s="4"/>
      <c r="C57" s="20"/>
    </row>
    <row r="58" spans="1:3" x14ac:dyDescent="0.45">
      <c r="A58" s="4"/>
      <c r="B58" s="4"/>
      <c r="C58" s="20"/>
    </row>
    <row r="59" spans="1:3" x14ac:dyDescent="0.45">
      <c r="A59" s="4"/>
      <c r="B59" s="4"/>
      <c r="C59" s="20"/>
    </row>
    <row r="60" spans="1:3" x14ac:dyDescent="0.45">
      <c r="A60" s="4"/>
      <c r="B60" s="4"/>
      <c r="C60" s="20"/>
    </row>
    <row r="61" spans="1:3" x14ac:dyDescent="0.45">
      <c r="A61" s="4"/>
      <c r="B61" s="4"/>
      <c r="C61" s="20"/>
    </row>
    <row r="62" spans="1:3" x14ac:dyDescent="0.45">
      <c r="A62" s="4"/>
      <c r="B62" s="4"/>
      <c r="C62" s="20"/>
    </row>
    <row r="63" spans="1:3" x14ac:dyDescent="0.45">
      <c r="A63" s="4"/>
      <c r="B63" s="4"/>
      <c r="C63" s="20"/>
    </row>
    <row r="64" spans="1:3" x14ac:dyDescent="0.45">
      <c r="A64" s="4"/>
      <c r="B64" s="4"/>
      <c r="C64" s="20"/>
    </row>
    <row r="65" spans="1:3" x14ac:dyDescent="0.45">
      <c r="A65" s="4"/>
      <c r="B65" s="4"/>
      <c r="C65" s="20"/>
    </row>
    <row r="66" spans="1:3" x14ac:dyDescent="0.45">
      <c r="A66" s="4"/>
      <c r="B66" s="4"/>
      <c r="C66" s="20"/>
    </row>
    <row r="67" spans="1:3" x14ac:dyDescent="0.45">
      <c r="A67" s="4"/>
      <c r="B67" s="4"/>
      <c r="C67" s="20"/>
    </row>
    <row r="68" spans="1:3" x14ac:dyDescent="0.45">
      <c r="A68" s="4"/>
      <c r="B68" s="4"/>
      <c r="C68" s="20"/>
    </row>
  </sheetData>
  <mergeCells count="8">
    <mergeCell ref="A3:A7"/>
    <mergeCell ref="A41:A47"/>
    <mergeCell ref="A32:A40"/>
    <mergeCell ref="A27:A31"/>
    <mergeCell ref="A24:A26"/>
    <mergeCell ref="A19:A23"/>
    <mergeCell ref="A14:A18"/>
    <mergeCell ref="A8:A1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CalcAllRawMaterials">
                <anchor moveWithCells="1" sizeWithCells="1">
                  <from>
                    <xdr:col>20</xdr:col>
                    <xdr:colOff>184150</xdr:colOff>
                    <xdr:row>1</xdr:row>
                    <xdr:rowOff>0</xdr:rowOff>
                  </from>
                  <to>
                    <xdr:col>22</xdr:col>
                    <xdr:colOff>120650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EC957-0E59-44A1-890D-28149F95833E}">
  <sheetPr codeName="Sheet3"/>
  <dimension ref="A1:P83"/>
  <sheetViews>
    <sheetView topLeftCell="A24" workbookViewId="0">
      <selection activeCell="D47" sqref="D47"/>
    </sheetView>
  </sheetViews>
  <sheetFormatPr defaultRowHeight="17" x14ac:dyDescent="0.45"/>
  <cols>
    <col min="1" max="1" width="16.83203125" customWidth="1"/>
    <col min="2" max="3" width="12.08203125" customWidth="1"/>
    <col min="4" max="4" width="10.58203125" customWidth="1"/>
    <col min="5" max="5" width="12.08203125" customWidth="1"/>
    <col min="6" max="6" width="10.58203125" customWidth="1"/>
    <col min="7" max="7" width="12.08203125" customWidth="1"/>
    <col min="8" max="8" width="10.58203125" customWidth="1"/>
    <col min="9" max="9" width="12.08203125" customWidth="1"/>
    <col min="10" max="10" width="10.58203125" customWidth="1"/>
    <col min="11" max="11" width="12.08203125" customWidth="1"/>
    <col min="12" max="12" width="10.58203125" customWidth="1"/>
  </cols>
  <sheetData>
    <row r="1" spans="1:16" ht="34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185</v>
      </c>
      <c r="N1" s="1" t="s">
        <v>186</v>
      </c>
      <c r="O1" s="1" t="s">
        <v>187</v>
      </c>
      <c r="P1" s="1" t="s">
        <v>188</v>
      </c>
    </row>
    <row r="2" spans="1:16" x14ac:dyDescent="0.45">
      <c r="A2" s="2" t="s">
        <v>12</v>
      </c>
      <c r="B2" s="2">
        <v>3</v>
      </c>
      <c r="C2" s="2" t="s">
        <v>13</v>
      </c>
      <c r="D2" s="2">
        <v>10</v>
      </c>
      <c r="E2" s="2"/>
      <c r="F2" s="2"/>
      <c r="G2" s="2"/>
      <c r="H2" s="2"/>
      <c r="I2" s="2"/>
      <c r="J2" s="2"/>
      <c r="K2" s="2"/>
      <c r="L2" s="2"/>
    </row>
    <row r="3" spans="1:16" x14ac:dyDescent="0.45">
      <c r="A3" s="2" t="s">
        <v>14</v>
      </c>
      <c r="B3" s="2">
        <v>3</v>
      </c>
      <c r="C3" s="2" t="s">
        <v>12</v>
      </c>
      <c r="D3" s="2">
        <v>3</v>
      </c>
      <c r="E3" s="2" t="s">
        <v>15</v>
      </c>
      <c r="F3" s="2">
        <v>4</v>
      </c>
      <c r="G3" s="2"/>
      <c r="H3" s="2"/>
      <c r="I3" s="2"/>
      <c r="J3" s="2"/>
      <c r="K3" s="2"/>
      <c r="L3" s="2"/>
    </row>
    <row r="4" spans="1:16" x14ac:dyDescent="0.45">
      <c r="A4" s="2" t="s">
        <v>16</v>
      </c>
      <c r="B4" s="2">
        <v>3</v>
      </c>
      <c r="C4" s="2" t="s">
        <v>14</v>
      </c>
      <c r="D4" s="2">
        <v>3</v>
      </c>
      <c r="E4" s="2" t="s">
        <v>17</v>
      </c>
      <c r="F4" s="2">
        <v>15</v>
      </c>
      <c r="G4" s="2" t="s">
        <v>15</v>
      </c>
      <c r="H4" s="2">
        <v>8</v>
      </c>
      <c r="I4" s="2"/>
      <c r="J4" s="2"/>
      <c r="K4" s="2"/>
      <c r="L4" s="2"/>
    </row>
    <row r="5" spans="1:16" x14ac:dyDescent="0.45">
      <c r="A5" s="2" t="s">
        <v>18</v>
      </c>
      <c r="B5" s="2">
        <v>1</v>
      </c>
      <c r="C5" s="2" t="s">
        <v>16</v>
      </c>
      <c r="D5" s="2">
        <v>2</v>
      </c>
      <c r="E5" s="2"/>
      <c r="F5" s="2"/>
      <c r="G5" s="2"/>
    </row>
    <row r="6" spans="1:16" x14ac:dyDescent="0.45">
      <c r="A6" s="2" t="s">
        <v>19</v>
      </c>
      <c r="B6" s="2">
        <v>1</v>
      </c>
      <c r="C6" s="2" t="s">
        <v>20</v>
      </c>
      <c r="D6" s="2">
        <v>3</v>
      </c>
    </row>
    <row r="7" spans="1:16" x14ac:dyDescent="0.45">
      <c r="A7" s="6" t="s">
        <v>30</v>
      </c>
      <c r="B7" s="2">
        <v>3</v>
      </c>
      <c r="C7" s="2" t="s">
        <v>65</v>
      </c>
      <c r="D7" s="2">
        <v>10</v>
      </c>
    </row>
    <row r="8" spans="1:16" x14ac:dyDescent="0.45">
      <c r="A8" s="6" t="s">
        <v>31</v>
      </c>
      <c r="B8" s="2">
        <v>3</v>
      </c>
      <c r="C8" s="2" t="s">
        <v>30</v>
      </c>
      <c r="D8" s="2">
        <v>3</v>
      </c>
      <c r="E8" t="s">
        <v>64</v>
      </c>
      <c r="F8">
        <v>4</v>
      </c>
    </row>
    <row r="9" spans="1:16" x14ac:dyDescent="0.45">
      <c r="A9" s="6" t="s">
        <v>32</v>
      </c>
      <c r="B9" s="2">
        <v>3</v>
      </c>
      <c r="C9" s="2" t="s">
        <v>31</v>
      </c>
      <c r="D9" s="2">
        <v>3</v>
      </c>
      <c r="E9" t="s">
        <v>66</v>
      </c>
      <c r="F9">
        <v>15</v>
      </c>
      <c r="G9" t="s">
        <v>64</v>
      </c>
      <c r="H9">
        <v>8</v>
      </c>
    </row>
    <row r="10" spans="1:16" x14ac:dyDescent="0.45">
      <c r="A10" s="6" t="s">
        <v>33</v>
      </c>
      <c r="B10" s="2">
        <v>3</v>
      </c>
      <c r="C10" s="2" t="s">
        <v>32</v>
      </c>
      <c r="D10" s="2">
        <v>4</v>
      </c>
      <c r="E10" t="s">
        <v>67</v>
      </c>
      <c r="F10">
        <v>20</v>
      </c>
      <c r="G10" t="s">
        <v>64</v>
      </c>
      <c r="H10">
        <v>12</v>
      </c>
    </row>
    <row r="11" spans="1:16" x14ac:dyDescent="0.45">
      <c r="A11" s="6" t="s">
        <v>34</v>
      </c>
      <c r="B11" s="2">
        <v>3</v>
      </c>
      <c r="C11" s="2" t="s">
        <v>33</v>
      </c>
      <c r="D11" s="2">
        <v>15</v>
      </c>
      <c r="E11" t="s">
        <v>68</v>
      </c>
      <c r="F11">
        <v>30</v>
      </c>
      <c r="G11" t="s">
        <v>64</v>
      </c>
      <c r="H11">
        <v>30</v>
      </c>
    </row>
    <row r="12" spans="1:16" x14ac:dyDescent="0.45">
      <c r="A12" s="6" t="s">
        <v>35</v>
      </c>
      <c r="B12" s="2">
        <v>3</v>
      </c>
      <c r="C12" s="2" t="s">
        <v>33</v>
      </c>
      <c r="D12" s="2">
        <v>5</v>
      </c>
      <c r="E12" t="s">
        <v>69</v>
      </c>
      <c r="F12">
        <v>20</v>
      </c>
      <c r="G12" t="s">
        <v>64</v>
      </c>
      <c r="H12">
        <v>16</v>
      </c>
    </row>
    <row r="13" spans="1:16" x14ac:dyDescent="0.45">
      <c r="A13" s="6" t="s">
        <v>36</v>
      </c>
      <c r="B13" s="2">
        <v>3</v>
      </c>
      <c r="C13" s="2" t="s">
        <v>70</v>
      </c>
      <c r="D13" s="2">
        <v>10</v>
      </c>
    </row>
    <row r="14" spans="1:16" x14ac:dyDescent="0.45">
      <c r="A14" s="6" t="s">
        <v>37</v>
      </c>
      <c r="B14" s="2">
        <v>3</v>
      </c>
      <c r="C14" s="2" t="s">
        <v>36</v>
      </c>
      <c r="D14" s="2">
        <v>3</v>
      </c>
      <c r="E14" t="s">
        <v>71</v>
      </c>
      <c r="F14">
        <v>4</v>
      </c>
    </row>
    <row r="15" spans="1:16" x14ac:dyDescent="0.45">
      <c r="A15" s="6" t="s">
        <v>38</v>
      </c>
      <c r="B15" s="2">
        <v>3</v>
      </c>
      <c r="C15" s="2" t="s">
        <v>37</v>
      </c>
      <c r="D15" s="2">
        <v>3</v>
      </c>
      <c r="E15" t="s">
        <v>72</v>
      </c>
      <c r="F15">
        <v>15</v>
      </c>
      <c r="G15" t="s">
        <v>71</v>
      </c>
      <c r="H15">
        <v>8</v>
      </c>
    </row>
    <row r="16" spans="1:16" x14ac:dyDescent="0.45">
      <c r="A16" s="6" t="s">
        <v>39</v>
      </c>
      <c r="B16" s="2">
        <v>3</v>
      </c>
      <c r="C16" s="2" t="s">
        <v>38</v>
      </c>
      <c r="D16" s="2">
        <v>4</v>
      </c>
      <c r="E16" t="s">
        <v>73</v>
      </c>
      <c r="F16">
        <v>20</v>
      </c>
      <c r="G16" t="s">
        <v>71</v>
      </c>
      <c r="H16">
        <v>12</v>
      </c>
    </row>
    <row r="17" spans="1:8" x14ac:dyDescent="0.45">
      <c r="A17" s="6" t="s">
        <v>40</v>
      </c>
      <c r="B17" s="2">
        <v>3</v>
      </c>
      <c r="C17" s="2" t="s">
        <v>39</v>
      </c>
      <c r="D17" s="2">
        <v>5</v>
      </c>
      <c r="E17" t="s">
        <v>74</v>
      </c>
      <c r="F17">
        <v>20</v>
      </c>
      <c r="G17" t="s">
        <v>71</v>
      </c>
      <c r="H17">
        <v>16</v>
      </c>
    </row>
    <row r="18" spans="1:8" x14ac:dyDescent="0.45">
      <c r="A18" s="6" t="s">
        <v>41</v>
      </c>
      <c r="B18">
        <v>3</v>
      </c>
      <c r="C18" t="s">
        <v>75</v>
      </c>
      <c r="D18">
        <v>10</v>
      </c>
    </row>
    <row r="19" spans="1:8" x14ac:dyDescent="0.45">
      <c r="A19" s="6" t="s">
        <v>42</v>
      </c>
      <c r="B19">
        <v>3</v>
      </c>
      <c r="C19" t="s">
        <v>41</v>
      </c>
      <c r="D19">
        <v>3</v>
      </c>
      <c r="E19" t="s">
        <v>75</v>
      </c>
      <c r="F19">
        <v>4</v>
      </c>
    </row>
    <row r="20" spans="1:8" x14ac:dyDescent="0.45">
      <c r="A20" s="6" t="s">
        <v>43</v>
      </c>
      <c r="B20">
        <v>3</v>
      </c>
      <c r="C20" t="s">
        <v>42</v>
      </c>
      <c r="D20">
        <v>3</v>
      </c>
      <c r="E20" t="s">
        <v>76</v>
      </c>
      <c r="F20">
        <v>15</v>
      </c>
      <c r="G20" t="s">
        <v>75</v>
      </c>
      <c r="H20">
        <v>8</v>
      </c>
    </row>
    <row r="21" spans="1:8" x14ac:dyDescent="0.45">
      <c r="A21" s="6" t="s">
        <v>44</v>
      </c>
      <c r="B21">
        <v>3</v>
      </c>
      <c r="C21" t="s">
        <v>43</v>
      </c>
      <c r="D21">
        <v>4</v>
      </c>
      <c r="E21" t="s">
        <v>77</v>
      </c>
      <c r="F21">
        <v>20</v>
      </c>
      <c r="G21" t="s">
        <v>75</v>
      </c>
      <c r="H21">
        <v>12</v>
      </c>
    </row>
    <row r="22" spans="1:8" x14ac:dyDescent="0.45">
      <c r="A22" s="6" t="s">
        <v>45</v>
      </c>
      <c r="B22">
        <v>3</v>
      </c>
      <c r="C22" t="s">
        <v>44</v>
      </c>
      <c r="D22">
        <v>5</v>
      </c>
      <c r="E22" t="s">
        <v>78</v>
      </c>
      <c r="F22">
        <v>20</v>
      </c>
      <c r="G22" t="s">
        <v>75</v>
      </c>
      <c r="H22">
        <v>16</v>
      </c>
    </row>
    <row r="23" spans="1:8" x14ac:dyDescent="0.45">
      <c r="A23" s="6" t="s">
        <v>46</v>
      </c>
      <c r="B23">
        <v>2</v>
      </c>
      <c r="C23" t="s">
        <v>79</v>
      </c>
      <c r="D23">
        <v>10</v>
      </c>
    </row>
    <row r="24" spans="1:8" x14ac:dyDescent="0.45">
      <c r="A24" s="6" t="s">
        <v>177</v>
      </c>
      <c r="B24">
        <v>2</v>
      </c>
      <c r="C24" t="s">
        <v>46</v>
      </c>
      <c r="D24">
        <v>4</v>
      </c>
      <c r="E24" t="s">
        <v>80</v>
      </c>
      <c r="F24">
        <v>8</v>
      </c>
    </row>
    <row r="25" spans="1:8" x14ac:dyDescent="0.45">
      <c r="A25" s="6" t="s">
        <v>178</v>
      </c>
      <c r="B25">
        <v>2</v>
      </c>
      <c r="C25" t="s">
        <v>177</v>
      </c>
      <c r="D25">
        <v>4</v>
      </c>
      <c r="E25" t="s">
        <v>81</v>
      </c>
      <c r="F25">
        <v>20</v>
      </c>
      <c r="G25" t="s">
        <v>80</v>
      </c>
      <c r="H25">
        <v>16</v>
      </c>
    </row>
    <row r="26" spans="1:8" x14ac:dyDescent="0.45">
      <c r="A26" s="6" t="s">
        <v>50</v>
      </c>
      <c r="B26">
        <v>15</v>
      </c>
      <c r="C26" t="s">
        <v>82</v>
      </c>
      <c r="D26">
        <v>30</v>
      </c>
    </row>
    <row r="27" spans="1:8" x14ac:dyDescent="0.45">
      <c r="A27" t="s">
        <v>51</v>
      </c>
      <c r="B27">
        <v>5</v>
      </c>
      <c r="C27" t="s">
        <v>50</v>
      </c>
      <c r="D27">
        <v>10</v>
      </c>
    </row>
    <row r="28" spans="1:8" x14ac:dyDescent="0.45">
      <c r="A28" s="2" t="s">
        <v>53</v>
      </c>
      <c r="B28">
        <v>5</v>
      </c>
      <c r="C28" t="s">
        <v>83</v>
      </c>
      <c r="D28">
        <v>20</v>
      </c>
    </row>
    <row r="29" spans="1:8" x14ac:dyDescent="0.45">
      <c r="A29" s="2" t="s">
        <v>52</v>
      </c>
      <c r="B29">
        <v>5</v>
      </c>
      <c r="C29" t="s">
        <v>84</v>
      </c>
      <c r="D29">
        <v>20</v>
      </c>
    </row>
    <row r="30" spans="1:8" x14ac:dyDescent="0.45">
      <c r="A30" s="2" t="s">
        <v>80</v>
      </c>
      <c r="B30">
        <v>5</v>
      </c>
      <c r="C30" t="s">
        <v>86</v>
      </c>
      <c r="D30">
        <v>10</v>
      </c>
    </row>
    <row r="31" spans="1:8" x14ac:dyDescent="0.45">
      <c r="A31" s="2" t="s">
        <v>54</v>
      </c>
      <c r="B31">
        <v>3</v>
      </c>
      <c r="C31" t="s">
        <v>144</v>
      </c>
      <c r="D31">
        <v>10</v>
      </c>
      <c r="E31" t="s">
        <v>145</v>
      </c>
      <c r="F31">
        <v>2</v>
      </c>
    </row>
    <row r="32" spans="1:8" x14ac:dyDescent="0.45">
      <c r="A32" s="2" t="s">
        <v>55</v>
      </c>
      <c r="B32">
        <v>3</v>
      </c>
      <c r="C32" t="s">
        <v>147</v>
      </c>
      <c r="D32">
        <v>15</v>
      </c>
    </row>
    <row r="33" spans="1:12" x14ac:dyDescent="0.45">
      <c r="A33" s="2" t="s">
        <v>56</v>
      </c>
      <c r="B33">
        <v>3</v>
      </c>
      <c r="C33" t="s">
        <v>149</v>
      </c>
      <c r="D33">
        <v>6</v>
      </c>
      <c r="E33" t="s">
        <v>150</v>
      </c>
      <c r="F33">
        <v>1</v>
      </c>
    </row>
    <row r="34" spans="1:12" x14ac:dyDescent="0.45">
      <c r="A34" s="2" t="s">
        <v>57</v>
      </c>
      <c r="B34">
        <v>3</v>
      </c>
      <c r="C34" t="s">
        <v>55</v>
      </c>
      <c r="D34">
        <v>3</v>
      </c>
      <c r="E34" t="s">
        <v>144</v>
      </c>
      <c r="F34">
        <v>5</v>
      </c>
      <c r="G34" t="s">
        <v>151</v>
      </c>
      <c r="H34">
        <v>1</v>
      </c>
    </row>
    <row r="35" spans="1:12" x14ac:dyDescent="0.45">
      <c r="A35" s="2" t="s">
        <v>58</v>
      </c>
      <c r="B35">
        <v>3</v>
      </c>
      <c r="C35" t="s">
        <v>149</v>
      </c>
      <c r="D35">
        <v>12</v>
      </c>
      <c r="E35" t="s">
        <v>144</v>
      </c>
      <c r="F35">
        <v>6</v>
      </c>
      <c r="G35" t="s">
        <v>153</v>
      </c>
      <c r="H35">
        <v>2</v>
      </c>
    </row>
    <row r="36" spans="1:12" x14ac:dyDescent="0.45">
      <c r="A36" s="2" t="s">
        <v>59</v>
      </c>
      <c r="B36">
        <v>5</v>
      </c>
      <c r="C36" t="s">
        <v>154</v>
      </c>
      <c r="D36">
        <v>30</v>
      </c>
      <c r="E36" t="s">
        <v>151</v>
      </c>
      <c r="F36">
        <v>3</v>
      </c>
    </row>
    <row r="37" spans="1:12" x14ac:dyDescent="0.45">
      <c r="A37" s="2" t="s">
        <v>60</v>
      </c>
      <c r="B37">
        <v>3</v>
      </c>
      <c r="C37" t="s">
        <v>59</v>
      </c>
      <c r="D37">
        <v>3</v>
      </c>
      <c r="E37" t="s">
        <v>151</v>
      </c>
      <c r="F37">
        <v>3</v>
      </c>
      <c r="G37" t="s">
        <v>150</v>
      </c>
      <c r="H37">
        <v>2</v>
      </c>
      <c r="I37" t="s">
        <v>41</v>
      </c>
      <c r="J37">
        <v>3</v>
      </c>
    </row>
    <row r="38" spans="1:12" x14ac:dyDescent="0.45">
      <c r="A38" s="2" t="s">
        <v>61</v>
      </c>
      <c r="B38">
        <v>3</v>
      </c>
      <c r="C38" t="s">
        <v>59</v>
      </c>
      <c r="D38">
        <v>3</v>
      </c>
      <c r="E38" t="s">
        <v>151</v>
      </c>
      <c r="F38">
        <v>3</v>
      </c>
      <c r="G38" t="s">
        <v>150</v>
      </c>
      <c r="H38">
        <v>1</v>
      </c>
      <c r="I38" t="s">
        <v>145</v>
      </c>
      <c r="J38">
        <v>1</v>
      </c>
    </row>
    <row r="39" spans="1:12" x14ac:dyDescent="0.45">
      <c r="A39" s="2" t="s">
        <v>62</v>
      </c>
      <c r="B39">
        <v>1</v>
      </c>
      <c r="C39" t="s">
        <v>179</v>
      </c>
      <c r="D39">
        <v>1</v>
      </c>
      <c r="E39" t="s">
        <v>155</v>
      </c>
      <c r="F39">
        <v>6</v>
      </c>
      <c r="G39" t="s">
        <v>156</v>
      </c>
      <c r="H39">
        <v>2</v>
      </c>
      <c r="I39" t="s">
        <v>150</v>
      </c>
      <c r="J39">
        <v>2</v>
      </c>
      <c r="K39" t="s">
        <v>157</v>
      </c>
      <c r="L39">
        <v>1</v>
      </c>
    </row>
    <row r="40" spans="1:12" x14ac:dyDescent="0.45">
      <c r="A40" s="2" t="s">
        <v>180</v>
      </c>
      <c r="B40">
        <v>10</v>
      </c>
      <c r="C40" t="s">
        <v>181</v>
      </c>
      <c r="D40">
        <v>2</v>
      </c>
    </row>
    <row r="41" spans="1:12" x14ac:dyDescent="0.45">
      <c r="A41" s="2" t="s">
        <v>97</v>
      </c>
      <c r="B41">
        <v>1</v>
      </c>
      <c r="C41" t="s">
        <v>19</v>
      </c>
      <c r="D41">
        <v>1</v>
      </c>
      <c r="E41" t="s">
        <v>20</v>
      </c>
      <c r="F41">
        <v>2</v>
      </c>
      <c r="G41" t="s">
        <v>180</v>
      </c>
      <c r="H41">
        <v>4</v>
      </c>
    </row>
    <row r="42" spans="1:12" x14ac:dyDescent="0.45">
      <c r="A42" s="2" t="s">
        <v>98</v>
      </c>
      <c r="B42">
        <v>1</v>
      </c>
      <c r="C42" t="s">
        <v>19</v>
      </c>
      <c r="D42">
        <v>1</v>
      </c>
      <c r="E42" t="s">
        <v>20</v>
      </c>
      <c r="F42">
        <v>2</v>
      </c>
      <c r="G42" t="s">
        <v>180</v>
      </c>
      <c r="H42">
        <v>4</v>
      </c>
    </row>
    <row r="43" spans="1:12" x14ac:dyDescent="0.45">
      <c r="A43" s="2" t="s">
        <v>99</v>
      </c>
      <c r="B43">
        <v>1</v>
      </c>
      <c r="C43" t="s">
        <v>19</v>
      </c>
      <c r="D43">
        <v>1</v>
      </c>
      <c r="E43" t="s">
        <v>20</v>
      </c>
      <c r="F43">
        <v>2</v>
      </c>
      <c r="G43" t="s">
        <v>180</v>
      </c>
      <c r="H43">
        <v>4</v>
      </c>
    </row>
    <row r="44" spans="1:12" x14ac:dyDescent="0.45">
      <c r="A44" s="2" t="s">
        <v>100</v>
      </c>
      <c r="B44">
        <v>1</v>
      </c>
      <c r="C44" t="s">
        <v>19</v>
      </c>
      <c r="D44">
        <v>1</v>
      </c>
      <c r="E44" t="s">
        <v>20</v>
      </c>
      <c r="F44">
        <v>2</v>
      </c>
      <c r="G44" t="s">
        <v>180</v>
      </c>
      <c r="H44">
        <v>4</v>
      </c>
    </row>
    <row r="45" spans="1:12" x14ac:dyDescent="0.45">
      <c r="A45" s="2" t="s">
        <v>101</v>
      </c>
      <c r="B45">
        <v>1</v>
      </c>
      <c r="C45" t="s">
        <v>19</v>
      </c>
      <c r="D45">
        <v>1</v>
      </c>
      <c r="E45" t="s">
        <v>20</v>
      </c>
      <c r="F45">
        <v>2</v>
      </c>
      <c r="G45" t="s">
        <v>180</v>
      </c>
      <c r="H45">
        <v>4</v>
      </c>
    </row>
    <row r="46" spans="1:12" x14ac:dyDescent="0.45">
      <c r="A46" s="2" t="s">
        <v>102</v>
      </c>
      <c r="B46">
        <v>1</v>
      </c>
      <c r="C46" t="s">
        <v>19</v>
      </c>
      <c r="D46">
        <v>1</v>
      </c>
      <c r="E46" t="s">
        <v>20</v>
      </c>
      <c r="F46">
        <v>2</v>
      </c>
      <c r="G46" t="s">
        <v>180</v>
      </c>
      <c r="H46">
        <v>4</v>
      </c>
    </row>
    <row r="47" spans="1:12" x14ac:dyDescent="0.45">
      <c r="A47" s="2" t="s">
        <v>103</v>
      </c>
      <c r="B47">
        <v>1</v>
      </c>
      <c r="C47" t="s">
        <v>35</v>
      </c>
      <c r="D47">
        <v>1</v>
      </c>
      <c r="E47" t="s">
        <v>33</v>
      </c>
      <c r="F47">
        <v>3</v>
      </c>
      <c r="G47" t="s">
        <v>180</v>
      </c>
      <c r="H47">
        <v>8</v>
      </c>
    </row>
    <row r="48" spans="1:12" x14ac:dyDescent="0.45">
      <c r="A48" s="2" t="s">
        <v>104</v>
      </c>
      <c r="B48">
        <v>1</v>
      </c>
      <c r="C48" t="s">
        <v>35</v>
      </c>
      <c r="D48">
        <v>1</v>
      </c>
      <c r="E48" t="s">
        <v>33</v>
      </c>
      <c r="F48">
        <v>3</v>
      </c>
      <c r="G48" t="s">
        <v>180</v>
      </c>
      <c r="H48">
        <v>8</v>
      </c>
    </row>
    <row r="49" spans="1:16" x14ac:dyDescent="0.45">
      <c r="A49" s="2" t="s">
        <v>105</v>
      </c>
      <c r="B49">
        <v>5</v>
      </c>
      <c r="C49" t="s">
        <v>182</v>
      </c>
      <c r="D49">
        <v>16</v>
      </c>
      <c r="E49" t="s">
        <v>51</v>
      </c>
      <c r="F49">
        <v>5</v>
      </c>
      <c r="G49" t="s">
        <v>183</v>
      </c>
      <c r="H49">
        <v>2</v>
      </c>
    </row>
    <row r="50" spans="1:16" x14ac:dyDescent="0.45">
      <c r="A50" s="2" t="s">
        <v>106</v>
      </c>
      <c r="B50">
        <v>5</v>
      </c>
      <c r="C50" t="s">
        <v>44</v>
      </c>
      <c r="D50">
        <v>5</v>
      </c>
      <c r="E50" t="s">
        <v>52</v>
      </c>
      <c r="F50">
        <v>6</v>
      </c>
      <c r="G50" t="s">
        <v>189</v>
      </c>
      <c r="H50">
        <v>10</v>
      </c>
      <c r="I50" t="s">
        <v>190</v>
      </c>
      <c r="J50">
        <v>10</v>
      </c>
      <c r="K50" t="s">
        <v>191</v>
      </c>
      <c r="L50">
        <v>10</v>
      </c>
      <c r="M50" t="s">
        <v>192</v>
      </c>
      <c r="N50">
        <v>10</v>
      </c>
      <c r="O50" t="s">
        <v>193</v>
      </c>
      <c r="P50">
        <v>10</v>
      </c>
    </row>
    <row r="51" spans="1:16" x14ac:dyDescent="0.45">
      <c r="A51" s="2" t="s">
        <v>107</v>
      </c>
      <c r="B51">
        <v>1</v>
      </c>
      <c r="C51" t="s">
        <v>144</v>
      </c>
      <c r="D51">
        <v>1</v>
      </c>
      <c r="E51" t="s">
        <v>160</v>
      </c>
      <c r="F51">
        <v>1</v>
      </c>
    </row>
    <row r="52" spans="1:16" x14ac:dyDescent="0.45">
      <c r="A52" s="2" t="s">
        <v>108</v>
      </c>
      <c r="B52">
        <v>1</v>
      </c>
    </row>
    <row r="53" spans="1:16" x14ac:dyDescent="0.45">
      <c r="A53" s="2" t="s">
        <v>109</v>
      </c>
      <c r="B53">
        <v>1</v>
      </c>
    </row>
    <row r="54" spans="1:16" x14ac:dyDescent="0.45">
      <c r="A54" s="2" t="s">
        <v>110</v>
      </c>
      <c r="B54">
        <v>1</v>
      </c>
    </row>
    <row r="55" spans="1:16" x14ac:dyDescent="0.45">
      <c r="A55" s="2" t="s">
        <v>112</v>
      </c>
      <c r="B55">
        <v>1</v>
      </c>
      <c r="C55" t="s">
        <v>160</v>
      </c>
      <c r="D55">
        <v>4</v>
      </c>
      <c r="E55" t="s">
        <v>161</v>
      </c>
      <c r="F55">
        <v>1</v>
      </c>
      <c r="G55" t="s">
        <v>54</v>
      </c>
      <c r="H55">
        <v>2</v>
      </c>
    </row>
    <row r="56" spans="1:16" x14ac:dyDescent="0.45">
      <c r="A56" s="2" t="s">
        <v>113</v>
      </c>
      <c r="B56">
        <v>1</v>
      </c>
    </row>
    <row r="57" spans="1:16" x14ac:dyDescent="0.45">
      <c r="A57" s="2" t="s">
        <v>114</v>
      </c>
      <c r="B57">
        <v>1</v>
      </c>
    </row>
    <row r="58" spans="1:16" x14ac:dyDescent="0.45">
      <c r="A58" s="2" t="s">
        <v>115</v>
      </c>
      <c r="B58">
        <v>1</v>
      </c>
      <c r="C58" t="s">
        <v>163</v>
      </c>
      <c r="D58">
        <v>10</v>
      </c>
      <c r="E58" t="s">
        <v>151</v>
      </c>
      <c r="F58">
        <v>5</v>
      </c>
      <c r="G58" t="s">
        <v>164</v>
      </c>
      <c r="H58">
        <v>4</v>
      </c>
      <c r="I58" t="s">
        <v>155</v>
      </c>
      <c r="J58">
        <v>3</v>
      </c>
    </row>
    <row r="59" spans="1:16" x14ac:dyDescent="0.45">
      <c r="A59" s="2" t="s">
        <v>116</v>
      </c>
      <c r="B59">
        <v>1</v>
      </c>
    </row>
    <row r="60" spans="1:16" x14ac:dyDescent="0.45">
      <c r="A60" s="2" t="s">
        <v>117</v>
      </c>
      <c r="B60">
        <v>1</v>
      </c>
    </row>
    <row r="61" spans="1:16" x14ac:dyDescent="0.45">
      <c r="A61" s="2" t="s">
        <v>118</v>
      </c>
      <c r="B61">
        <v>1</v>
      </c>
    </row>
    <row r="62" spans="1:16" x14ac:dyDescent="0.45">
      <c r="A62" s="2" t="s">
        <v>119</v>
      </c>
      <c r="B62">
        <v>1</v>
      </c>
    </row>
    <row r="63" spans="1:16" x14ac:dyDescent="0.45">
      <c r="A63" s="2" t="s">
        <v>120</v>
      </c>
      <c r="B63">
        <v>1</v>
      </c>
    </row>
    <row r="64" spans="1:16" x14ac:dyDescent="0.45">
      <c r="A64" s="2" t="s">
        <v>121</v>
      </c>
      <c r="B64">
        <v>1</v>
      </c>
      <c r="C64" t="s">
        <v>162</v>
      </c>
      <c r="D64">
        <v>8</v>
      </c>
      <c r="E64" t="s">
        <v>167</v>
      </c>
      <c r="F64">
        <v>3</v>
      </c>
      <c r="G64" t="s">
        <v>161</v>
      </c>
      <c r="H64">
        <v>6</v>
      </c>
      <c r="I64" t="s">
        <v>155</v>
      </c>
      <c r="J64">
        <v>2</v>
      </c>
    </row>
    <row r="65" spans="1:10" x14ac:dyDescent="0.45">
      <c r="A65" s="2" t="s">
        <v>122</v>
      </c>
      <c r="B65">
        <v>1</v>
      </c>
    </row>
    <row r="66" spans="1:10" x14ac:dyDescent="0.45">
      <c r="A66" s="2" t="s">
        <v>123</v>
      </c>
      <c r="B66">
        <v>1</v>
      </c>
    </row>
    <row r="67" spans="1:10" x14ac:dyDescent="0.45">
      <c r="A67" s="2" t="s">
        <v>124</v>
      </c>
      <c r="B67">
        <v>1</v>
      </c>
    </row>
    <row r="68" spans="1:10" x14ac:dyDescent="0.45">
      <c r="A68" s="2" t="s">
        <v>125</v>
      </c>
      <c r="B68">
        <v>1</v>
      </c>
    </row>
    <row r="69" spans="1:10" x14ac:dyDescent="0.45">
      <c r="A69" s="2" t="s">
        <v>126</v>
      </c>
      <c r="B69">
        <v>1</v>
      </c>
    </row>
    <row r="70" spans="1:10" x14ac:dyDescent="0.45">
      <c r="A70" s="2" t="s">
        <v>128</v>
      </c>
      <c r="B70">
        <v>1</v>
      </c>
      <c r="C70" t="s">
        <v>159</v>
      </c>
      <c r="D70">
        <v>4</v>
      </c>
      <c r="E70" t="s">
        <v>155</v>
      </c>
      <c r="F70">
        <v>2</v>
      </c>
      <c r="G70" t="s">
        <v>151</v>
      </c>
      <c r="H70">
        <v>1</v>
      </c>
      <c r="I70" t="s">
        <v>153</v>
      </c>
      <c r="J70">
        <v>2</v>
      </c>
    </row>
    <row r="71" spans="1:10" x14ac:dyDescent="0.45">
      <c r="A71" s="2" t="s">
        <v>129</v>
      </c>
      <c r="B71">
        <v>1</v>
      </c>
    </row>
    <row r="72" spans="1:10" x14ac:dyDescent="0.45">
      <c r="A72" s="2" t="s">
        <v>130</v>
      </c>
      <c r="B72">
        <v>1</v>
      </c>
    </row>
    <row r="73" spans="1:10" x14ac:dyDescent="0.45">
      <c r="A73" s="2" t="s">
        <v>131</v>
      </c>
      <c r="B73">
        <v>1</v>
      </c>
      <c r="C73" t="s">
        <v>159</v>
      </c>
      <c r="D73">
        <v>8</v>
      </c>
      <c r="E73" t="s">
        <v>55</v>
      </c>
      <c r="F73">
        <v>2</v>
      </c>
      <c r="G73" t="s">
        <v>144</v>
      </c>
      <c r="H73">
        <v>4</v>
      </c>
      <c r="I73" t="s">
        <v>153</v>
      </c>
      <c r="J73">
        <v>4</v>
      </c>
    </row>
    <row r="74" spans="1:10" x14ac:dyDescent="0.45">
      <c r="A74" s="2" t="s">
        <v>132</v>
      </c>
      <c r="B74">
        <v>1</v>
      </c>
    </row>
    <row r="75" spans="1:10" x14ac:dyDescent="0.45">
      <c r="A75" s="2" t="s">
        <v>133</v>
      </c>
      <c r="B75">
        <v>1</v>
      </c>
      <c r="C75" t="s">
        <v>159</v>
      </c>
      <c r="D75">
        <v>12</v>
      </c>
      <c r="E75" t="s">
        <v>58</v>
      </c>
      <c r="F75">
        <v>2</v>
      </c>
      <c r="G75" t="s">
        <v>55</v>
      </c>
      <c r="H75">
        <v>4</v>
      </c>
      <c r="I75" t="s">
        <v>153</v>
      </c>
      <c r="J75">
        <v>9</v>
      </c>
    </row>
    <row r="76" spans="1:10" x14ac:dyDescent="0.45">
      <c r="A76" s="2" t="s">
        <v>134</v>
      </c>
      <c r="B76">
        <v>1</v>
      </c>
    </row>
    <row r="77" spans="1:10" x14ac:dyDescent="0.45">
      <c r="A77" s="2" t="s">
        <v>135</v>
      </c>
      <c r="B77">
        <v>1</v>
      </c>
    </row>
    <row r="78" spans="1:10" x14ac:dyDescent="0.45">
      <c r="A78" s="2" t="s">
        <v>136</v>
      </c>
      <c r="B78">
        <v>1</v>
      </c>
    </row>
    <row r="79" spans="1:10" x14ac:dyDescent="0.45">
      <c r="A79" s="2" t="s">
        <v>137</v>
      </c>
      <c r="B79">
        <v>1</v>
      </c>
    </row>
    <row r="80" spans="1:10" ht="34" x14ac:dyDescent="0.45">
      <c r="A80" s="2" t="s">
        <v>138</v>
      </c>
      <c r="B80">
        <v>1</v>
      </c>
    </row>
    <row r="81" spans="1:14" x14ac:dyDescent="0.45">
      <c r="A81" s="2" t="s">
        <v>139</v>
      </c>
      <c r="B81">
        <v>1</v>
      </c>
    </row>
    <row r="82" spans="1:14" x14ac:dyDescent="0.45">
      <c r="A82" s="2" t="s">
        <v>140</v>
      </c>
      <c r="B82">
        <v>1</v>
      </c>
      <c r="C82" t="s">
        <v>184</v>
      </c>
      <c r="D82">
        <v>6</v>
      </c>
      <c r="E82" t="s">
        <v>169</v>
      </c>
      <c r="F82">
        <v>4</v>
      </c>
      <c r="G82" t="s">
        <v>167</v>
      </c>
      <c r="H82">
        <v>6</v>
      </c>
      <c r="I82" t="s">
        <v>151</v>
      </c>
      <c r="J82">
        <v>5</v>
      </c>
      <c r="K82" t="s">
        <v>174</v>
      </c>
      <c r="L82">
        <v>4</v>
      </c>
      <c r="M82" t="s">
        <v>157</v>
      </c>
      <c r="N82">
        <v>2</v>
      </c>
    </row>
    <row r="83" spans="1:14" ht="51" x14ac:dyDescent="0.45">
      <c r="A83" s="2" t="s">
        <v>141</v>
      </c>
      <c r="B8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Inventory</vt:lpstr>
      <vt:lpstr>UI</vt:lpstr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김정연</dc:creator>
  <cp:lastModifiedBy>김정연</cp:lastModifiedBy>
  <dcterms:created xsi:type="dcterms:W3CDTF">2025-07-18T15:07:07Z</dcterms:created>
  <dcterms:modified xsi:type="dcterms:W3CDTF">2025-07-19T07:31:03Z</dcterms:modified>
</cp:coreProperties>
</file>